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Very Large (18)" sheetId="2" state="visible" r:id="rId4"/>
    <sheet name="Large (37)" sheetId="3" state="visible" r:id="rId5"/>
    <sheet name="Medium (13)" sheetId="4" state="visible" r:id="rId6"/>
    <sheet name="Nairobi focus" sheetId="5" state="visible" r:id="rId7"/>
    <sheet name="Verification queu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<sst xmlns="http://schemas.openxmlformats.org/spreadsheetml/2006/main" count="284" uniqueCount="164">
  <si>
    <t xml:space="preserve">WASREB IMPACT 17 — reconciled dataset</t>
  </si>
  <si>
    <t xml:space="preserve">FY2023/24 · 68 of 95 utilities · Navuuna · 21 August 2026</t>
  </si>
  <si>
    <t xml:space="preserve">WHAT THIS IS</t>
  </si>
  <si>
    <t xml:space="preserve">The full KPI scorecard for 68 Kenyan water service providers, reconstructed from WASREB IMPACT Issue 17. Very Large (18), Large (37) and Medium (13) categories. This is the seed of the 17-year series, not the whole thing.</t>
  </si>
  <si>
    <t xml:space="preserve">HOW IT WAS OBTAINED</t>
  </si>
  <si>
    <t xml:space="preserve">The main IMPACT report PDF uses subsetted fonts with shifted character encodings and extracts as gibberish. The HIGHLIGHTS deck published alongside it does not, and carries the same category tables. Parsed from the Highlights.</t>
  </si>
  <si>
    <t xml:space="preserve">COLUMN ORDER</t>
  </si>
  <si>
    <t xml:space="preserve">Established from the label list printed on each category page. Identical across Large and Medium; applied to Very Large, where one block (revenue collection efficiency) extracts out of position and was reseated.</t>
  </si>
  <si>
    <t xml:space="preserve">VALIDATION PASSED</t>
  </si>
  <si>
    <t xml:space="preserve">Nyeri 168 and Nakuru 167 match the report narrative. Nanyuki 163 sits at the top of Large, which is why overall ranks 3-5 are absent from Very Large. Tana 8 and Samburu 9 match the narrative exactly, confirming the Medium block. Mombasa is last in Very Large and Bomet last in Large, both as stated.</t>
  </si>
  <si>
    <t xml:space="preserve">WHAT IS DELIBERATELY NULL</t>
  </si>
  <si>
    <t xml:space="preserve">Large water coverage rows 24-25 (ambiguous digit split) and all Large total scores and overall ranks (the block returns 36 values for 37 utilities and is non-monotonic). Null, never guessed. Never zero.</t>
  </si>
  <si>
    <t xml:space="preserve">NOT INCLUDED</t>
  </si>
  <si>
    <t xml:space="preserve">Small (22) and Private (4) categories. Their blocks are incomplete or corrupt and could not be reconciled without visual inspection of the page.</t>
  </si>
  <si>
    <t xml:space="preserve">PROVENANCE — SAY THIS OUT LOUD</t>
  </si>
  <si>
    <t xml:space="preserve">IMPACT relies exclusively on self-reported data submitted by utilities through WARIS and validated by WASREB. It is not independently measured. State that wherever this is published.</t>
  </si>
  <si>
    <t xml:space="preserve">ATTRIBUTION REQUIRED</t>
  </si>
  <si>
    <t xml:space="preserve">Water Services Regulatory Board (WASREB), IMPACT Report Issue 17, 2025.</t>
  </si>
  <si>
    <t xml:space="preserve">PUBLISHING RULES (from the Marketing &amp; Channel Plan)</t>
  </si>
  <si>
    <t xml:space="preserve">These are regulator-published figures and are safe to chart, attributed. But: never name a specific failing utility or county in public content — sector and national figures only. Source and vintage go ON the chart, not in the caption. And nothing computed from fixtures or seed data goes out at all.</t>
  </si>
  <si>
    <t xml:space="preserve">IP NOTE (from the IP &amp; Legal Dossier)</t>
  </si>
  <si>
    <t xml:space="preserve">The underlying facts are WASREB's and are not claimed. The compilation, the schema and the scoring methodology are Navuuna's. Publishing this derived dataset openly is consistent with the methodology-open / code-restricted posture — but file KECOBO before it goes out.</t>
  </si>
  <si>
    <t xml:space="preserve">Very Large (&gt;35,000 connections) — WASREB IMPACT 17, FY2023/24</t>
  </si>
  <si>
    <t xml:space="preserve">Source: WASREB IMPACT Report Issue 17 (2025). Self-reported via WARIS, validated by WASREB.</t>
  </si>
  <si>
    <t xml:space="preserve">Utility</t>
  </si>
  <si>
    <t xml:space="preserve">Drinking water quality (%)</t>
  </si>
  <si>
    <t xml:space="preserve">Non-revenue water (%)</t>
  </si>
  <si>
    <t xml:space="preserve">Water coverage (%)</t>
  </si>
  <si>
    <t xml:space="preserve">Hours of supply (hrs/day)</t>
  </si>
  <si>
    <t xml:space="preserve">Staff per 1,000 conns</t>
  </si>
  <si>
    <t xml:space="preserve">Revenue collection efficiency (%)</t>
  </si>
  <si>
    <t xml:space="preserve">Personnel exp. as % of O+M</t>
  </si>
  <si>
    <t xml:space="preserve">O+M cost coverage (%)</t>
  </si>
  <si>
    <t xml:space="preserve">Metering ratio (%)</t>
  </si>
  <si>
    <t xml:space="preserve">Total score (of 200)</t>
  </si>
  <si>
    <t xml:space="preserve">Rank in category</t>
  </si>
  <si>
    <t xml:space="preserve">Rank overall</t>
  </si>
  <si>
    <t xml:space="preserve">Nyeri</t>
  </si>
  <si>
    <t xml:space="preserve">Nakuru Urban</t>
  </si>
  <si>
    <t xml:space="preserve">Thika</t>
  </si>
  <si>
    <t xml:space="preserve">Kisumu</t>
  </si>
  <si>
    <t xml:space="preserve">Ruiru-Juja</t>
  </si>
  <si>
    <t xml:space="preserve">Kakamega Urban</t>
  </si>
  <si>
    <t xml:space="preserve">Embu</t>
  </si>
  <si>
    <t xml:space="preserve">Eldoret</t>
  </si>
  <si>
    <t xml:space="preserve">Murang'a South</t>
  </si>
  <si>
    <t xml:space="preserve">Malindi</t>
  </si>
  <si>
    <t xml:space="preserve">Kirinyaga</t>
  </si>
  <si>
    <t xml:space="preserve">Kilifi Mariakani</t>
  </si>
  <si>
    <t xml:space="preserve">Gatundu</t>
  </si>
  <si>
    <t xml:space="preserve">Nairobi</t>
  </si>
  <si>
    <t xml:space="preserve">Othaya Mukurweini</t>
  </si>
  <si>
    <t xml:space="preserve">Nzoia</t>
  </si>
  <si>
    <t xml:space="preserve">Kericho</t>
  </si>
  <si>
    <t xml:space="preserve">Mombasa</t>
  </si>
  <si>
    <t xml:space="preserve">Category average</t>
  </si>
  <si>
    <t xml:space="preserve">Blank cells shown as — are deliberately null: the source value could not be recovered unambiguously. Never treat them as zero.</t>
  </si>
  <si>
    <t xml:space="preserve">Large (10,000-35,000 connections) — WASREB IMPACT 17, FY2023/24</t>
  </si>
  <si>
    <t xml:space="preserve">Nanyuki</t>
  </si>
  <si>
    <t xml:space="preserve">—</t>
  </si>
  <si>
    <t xml:space="preserve">Murang'a Urban</t>
  </si>
  <si>
    <t xml:space="preserve">Isiolo</t>
  </si>
  <si>
    <t xml:space="preserve">Ngandori Nginda</t>
  </si>
  <si>
    <t xml:space="preserve">Meru</t>
  </si>
  <si>
    <t xml:space="preserve">Tetu Aberdare</t>
  </si>
  <si>
    <t xml:space="preserve">Naivasha</t>
  </si>
  <si>
    <t xml:space="preserve">Ngagaka</t>
  </si>
  <si>
    <t xml:space="preserve">Kiambu</t>
  </si>
  <si>
    <t xml:space="preserve">Nyahururu</t>
  </si>
  <si>
    <t xml:space="preserve">Nakuru Rural</t>
  </si>
  <si>
    <t xml:space="preserve">Murang'a West</t>
  </si>
  <si>
    <t xml:space="preserve">Mathira</t>
  </si>
  <si>
    <t xml:space="preserve">Kitui</t>
  </si>
  <si>
    <t xml:space="preserve">Limuru</t>
  </si>
  <si>
    <t xml:space="preserve">Gatamathi</t>
  </si>
  <si>
    <t xml:space="preserve">Nithi</t>
  </si>
  <si>
    <t xml:space="preserve">Gusii</t>
  </si>
  <si>
    <t xml:space="preserve">Kwale</t>
  </si>
  <si>
    <t xml:space="preserve">Githunguri</t>
  </si>
  <si>
    <t xml:space="preserve">Meru Rural</t>
  </si>
  <si>
    <t xml:space="preserve">Gatanga</t>
  </si>
  <si>
    <t xml:space="preserve">Kiambere Mwingi</t>
  </si>
  <si>
    <t xml:space="preserve">Homa Bay</t>
  </si>
  <si>
    <t xml:space="preserve">Machakos</t>
  </si>
  <si>
    <t xml:space="preserve">Amatsi</t>
  </si>
  <si>
    <t xml:space="preserve">Karuri</t>
  </si>
  <si>
    <t xml:space="preserve">Tavevo</t>
  </si>
  <si>
    <t xml:space="preserve">Kikuyu</t>
  </si>
  <si>
    <t xml:space="preserve">Sibo</t>
  </si>
  <si>
    <t xml:space="preserve">Mavoko</t>
  </si>
  <si>
    <t xml:space="preserve">Kibwezi Makindu</t>
  </si>
  <si>
    <t xml:space="preserve">Kyeni</t>
  </si>
  <si>
    <t xml:space="preserve">Garissa</t>
  </si>
  <si>
    <t xml:space="preserve">Busia</t>
  </si>
  <si>
    <t xml:space="preserve">Turkana Urban</t>
  </si>
  <si>
    <t xml:space="preserve">Bomet</t>
  </si>
  <si>
    <t xml:space="preserve">Medium (5,000-10,000 connections) — WASREB IMPACT 17, FY2023/24</t>
  </si>
  <si>
    <t xml:space="preserve">Kapsabet Nandi</t>
  </si>
  <si>
    <t xml:space="preserve">Embe</t>
  </si>
  <si>
    <t xml:space="preserve">Lamu</t>
  </si>
  <si>
    <t xml:space="preserve">Murugi Mugumango</t>
  </si>
  <si>
    <t xml:space="preserve">Kirandich</t>
  </si>
  <si>
    <t xml:space="preserve">Nyandarua</t>
  </si>
  <si>
    <t xml:space="preserve">Narok</t>
  </si>
  <si>
    <t xml:space="preserve">Chemususu</t>
  </si>
  <si>
    <t xml:space="preserve">Migori</t>
  </si>
  <si>
    <t xml:space="preserve">Nol Turesh</t>
  </si>
  <si>
    <t xml:space="preserve">Tuuru</t>
  </si>
  <si>
    <t xml:space="preserve">Samburu</t>
  </si>
  <si>
    <t xml:space="preserve">Tana</t>
  </si>
  <si>
    <t xml:space="preserve">Nairobi City Water &amp; Sewerage Company — FY2023/24</t>
  </si>
  <si>
    <t xml:space="preserve">The flagship module's subject. Utility-level, county-wide — NOT a sub-county figure.</t>
  </si>
  <si>
    <t xml:space="preserve">Indicator</t>
  </si>
  <si>
    <t xml:space="preserve">Very Large avg</t>
  </si>
  <si>
    <t xml:space="preserve">Sector benchmark</t>
  </si>
  <si>
    <t xml:space="preserve">Verdict</t>
  </si>
  <si>
    <t xml:space="preserve">Nearly double the benchmark</t>
  </si>
  <si>
    <t xml:space="preserve">Below the top of its category</t>
  </si>
  <si>
    <t xml:space="preserve">&gt;20 desired</t>
  </si>
  <si>
    <t xml:space="preserve">VERIFY — looks low, see queue</t>
  </si>
  <si>
    <t xml:space="preserve">&gt;95</t>
  </si>
  <si>
    <t xml:space="preserve">Near benchmark</t>
  </si>
  <si>
    <t xml:space="preserve">At benchmark</t>
  </si>
  <si>
    <t xml:space="preserve">Staff per 1,000 connections</t>
  </si>
  <si>
    <t xml:space="preserve">&lt;5</t>
  </si>
  <si>
    <t xml:space="preserve">Above the desired level</t>
  </si>
  <si>
    <t xml:space="preserve">&gt;100</t>
  </si>
  <si>
    <t xml:space="preserve">Covers costs</t>
  </si>
  <si>
    <t xml:space="preserve">Marginally below</t>
  </si>
  <si>
    <t xml:space="preserve">&lt;30</t>
  </si>
  <si>
    <t xml:space="preserve">Well above the desired level</t>
  </si>
  <si>
    <t xml:space="preserve">Rank 37 of 90 ranked utilities</t>
  </si>
  <si>
    <t xml:space="preserve">CRITICAL: every value here is UTILITY-level. NCWSC serves all of Nairobi County. These figures must render in the county banner above the map — never on a sub-county bubble.</t>
  </si>
  <si>
    <t xml:space="preserve">Before anything here is published</t>
  </si>
  <si>
    <t xml:space="preserve">#</t>
  </si>
  <si>
    <t xml:space="preserve">Item</t>
  </si>
  <si>
    <t xml:space="preserve">How to check</t>
  </si>
  <si>
    <t xml:space="preserve">Verified?</t>
  </si>
  <si>
    <t xml:space="preserve">By</t>
  </si>
  <si>
    <t xml:space="preserve">Date</t>
  </si>
  <si>
    <t xml:space="preserve">1</t>
  </si>
  <si>
    <t xml:space="preserve">Nairobi hours of supply = 7 hrs/day</t>
  </si>
  <si>
    <t xml:space="preserve">Looks low. Confirm against the visual table — an adjacent value may have been split wrongly</t>
  </si>
  <si>
    <t xml:space="preserve">2</t>
  </si>
  <si>
    <t xml:space="preserve">Column order on the Very Large page</t>
  </si>
  <si>
    <t xml:space="preserve">One block extracts out of position. pdftoppm -r 200 and read the headers left to right</t>
  </si>
  <si>
    <t xml:space="preserve">3</t>
  </si>
  <si>
    <t xml:space="preserve">Large water coverage, rows 24–25 (Homa Bay, Machakos)</t>
  </si>
  <si>
    <t xml:space="preserve">Ambiguous split of '667' — is it (66, 7) or (6, 67)? Read it off the page</t>
  </si>
  <si>
    <t xml:space="preserve">4</t>
  </si>
  <si>
    <t xml:space="preserve">Large staff-per-1000 column, whole column</t>
  </si>
  <si>
    <t xml:space="preserve">Several run-together tokens split more than one way. Marked low confidence in the CSV</t>
  </si>
  <si>
    <t xml:space="preserve">5</t>
  </si>
  <si>
    <t xml:space="preserve">Large total scores and overall ranks</t>
  </si>
  <si>
    <t xml:space="preserve">Block returns 36 values for 37 utilities and is non-monotonic. Recover the missing value</t>
  </si>
  <si>
    <t xml:space="preserve">6</t>
  </si>
  <si>
    <t xml:space="preserve">Small (22) and Private (4) categories</t>
  </si>
  <si>
    <t xml:space="preserve">Not reconciled. Establish the layout spec, then re-run</t>
  </si>
  <si>
    <t xml:space="preserve">7</t>
  </si>
  <si>
    <t xml:space="preserve">Spot-check 30 random values against the PDF</t>
  </si>
  <si>
    <t xml:space="preserve">The hand-check from prompt P3. Record verdicts in the repo</t>
  </si>
  <si>
    <t xml:space="preserve">8</t>
  </si>
  <si>
    <t xml:space="preserve">Large category count: 37 or 38?</t>
  </si>
  <si>
    <t xml:space="preserve">Highlights chart says 37; main report narrative says 'increased from 35 to 38'</t>
  </si>
</sst>
</file>

<file path=xl/styles.xml><?xml version="1.0" encoding="utf-8"?>
<styleSheet xmlns="http://schemas.openxmlformats.org/spreadsheetml/2006/main">
  <numFmts count="2">
    <numFmt numFmtId="164" formatCode="General"/>
    <numFmt numFmtId="165" formatCode="General"/>
  </numFmts>
  <fonts count="20">
    <font>
      <sz val="11"/>
      <color theme="1"/>
      <name val="Calibri"/>
      <family val="2"/>
      <charset val="1"/>
    </font>
    <font>
      <sz val="10"/>
      <name val="Arial"/>
      <family val="0"/>
    </font>
    <font>
      <sz val="10"/>
      <name val="Arial"/>
      <family val="0"/>
    </font>
    <font>
      <sz val="10"/>
      <name val="Arial"/>
      <family val="0"/>
    </font>
    <font>
      <b val="true"/>
      <sz val="16"/>
      <color rgb="FF1F2937"/>
      <name val="Arial"/>
      <family val="0"/>
      <charset val="1"/>
    </font>
    <font>
      <i val="true"/>
      <sz val="10"/>
      <color rgb="FF4A5563"/>
      <name val="Arial"/>
      <family val="0"/>
      <charset val="1"/>
    </font>
    <font>
      <b val="true"/>
      <sz val="9.5"/>
      <color rgb="FFC77B18"/>
      <name val="Arial"/>
      <family val="0"/>
      <charset val="1"/>
    </font>
    <font>
      <sz val="9.5"/>
      <name val="Arial"/>
      <family val="0"/>
      <charset val="1"/>
    </font>
    <font>
      <b val="true"/>
      <sz val="13"/>
      <color rgb="FF1F2937"/>
      <name val="Arial"/>
      <family val="0"/>
      <charset val="1"/>
    </font>
    <font>
      <i val="true"/>
      <sz val="9"/>
      <color rgb="FF4A5563"/>
      <name val="Arial"/>
      <family val="0"/>
      <charset val="1"/>
    </font>
    <font>
      <b val="true"/>
      <sz val="8.5"/>
      <color rgb="FFFFFFFF"/>
      <name val="Arial"/>
      <family val="0"/>
      <charset val="1"/>
    </font>
    <font>
      <sz val="9"/>
      <name val="Arial"/>
      <family val="0"/>
      <charset val="1"/>
    </font>
    <font>
      <sz val="9"/>
      <color rgb="FF000000"/>
      <name val="Arial"/>
      <family val="0"/>
      <charset val="1"/>
    </font>
    <font>
      <b val="true"/>
      <sz val="9"/>
      <name val="Arial"/>
      <family val="0"/>
      <charset val="1"/>
    </font>
    <font>
      <b val="true"/>
      <sz val="9"/>
      <color rgb="FF000000"/>
      <name val="Arial"/>
      <family val="0"/>
      <charset val="1"/>
    </font>
    <font>
      <i val="true"/>
      <sz val="8.5"/>
      <color rgb="FFA32A22"/>
      <name val="Arial"/>
      <family val="0"/>
      <charset val="1"/>
    </font>
    <font>
      <sz val="9"/>
      <color rgb="FFA32A22"/>
      <name val="Arial"/>
      <family val="0"/>
      <charset val="1"/>
    </font>
    <font>
      <b val="true"/>
      <sz val="14"/>
      <color rgb="FF1F2937"/>
      <name val="Arial"/>
      <family val="0"/>
      <charset val="1"/>
    </font>
    <font>
      <i val="true"/>
      <sz val="9.5"/>
      <color rgb="FFA32A22"/>
      <name val="Arial"/>
      <family val="0"/>
      <charset val="1"/>
    </font>
    <font>
      <b val="true"/>
      <sz val="9"/>
      <color rgb="FFA32A22"/>
      <name val="Arial"/>
      <family val="0"/>
      <charset val="1"/>
    </font>
  </fonts>
  <fills count="7">
    <fill>
      <patternFill patternType="none"/>
    </fill>
    <fill>
      <patternFill patternType="gray125"/>
    </fill>
    <fill>
      <patternFill patternType="solid">
        <fgColor rgb="FF1F2937"/>
        <bgColor rgb="FF333300"/>
      </patternFill>
    </fill>
    <fill>
      <patternFill patternType="solid">
        <fgColor rgb="FFE7F2EA"/>
        <bgColor rgb="FFFBF1E0"/>
      </patternFill>
    </fill>
    <fill>
      <patternFill patternType="solid">
        <fgColor rgb="FFFBF1E0"/>
        <bgColor rgb="FFFAEAE8"/>
      </patternFill>
    </fill>
    <fill>
      <patternFill patternType="solid">
        <fgColor rgb="FFFAEAE8"/>
        <bgColor rgb="FFFBF1E0"/>
      </patternFill>
    </fill>
    <fill>
      <patternFill patternType="solid">
        <fgColor rgb="FFFFFF00"/>
        <bgColor rgb="FFFFFF00"/>
      </patternFill>
    </fill>
  </fills>
  <borders count="2">
    <border diagonalUp="false" diagonalDown="false">
      <left/>
      <right/>
      <top/>
      <bottom/>
      <diagonal/>
    </border>
    <border diagonalUp="false" diagonalDown="false">
      <left style="thin">
        <color rgb="FFD8DEE6"/>
      </left>
      <right style="thin">
        <color rgb="FFD8DEE6"/>
      </right>
      <top style="thin">
        <color rgb="FFD8DEE6"/>
      </top>
      <bottom style="thin">
        <color rgb="FFD8DE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1E0"/>
      <rgbColor rgb="FFE7F2EA"/>
      <rgbColor rgb="FF660066"/>
      <rgbColor rgb="FFFF8080"/>
      <rgbColor rgb="FF0066CC"/>
      <rgbColor rgb="FFD8DEE6"/>
      <rgbColor rgb="FF000080"/>
      <rgbColor rgb="FFFF00FF"/>
      <rgbColor rgb="FFFFFF00"/>
      <rgbColor rgb="FF00FFFF"/>
      <rgbColor rgb="FF800080"/>
      <rgbColor rgb="FF800000"/>
      <rgbColor rgb="FF008080"/>
      <rgbColor rgb="FF0000FF"/>
      <rgbColor rgb="FF00CCFF"/>
      <rgbColor rgb="FFCCFFFF"/>
      <rgbColor rgb="FFCCFFCC"/>
      <rgbColor rgb="FFFAEAE8"/>
      <rgbColor rgb="FF99CCFF"/>
      <rgbColor rgb="FFFF99CC"/>
      <rgbColor rgb="FFCC99FF"/>
      <rgbColor rgb="FFFFCC99"/>
      <rgbColor rgb="FF3366FF"/>
      <rgbColor rgb="FF33CCCC"/>
      <rgbColor rgb="FF99CC00"/>
      <rgbColor rgb="FFFFCC00"/>
      <rgbColor rgb="FFFF9900"/>
      <rgbColor rgb="FFC77B18"/>
      <rgbColor rgb="FF4A5563"/>
      <rgbColor rgb="FF969696"/>
      <rgbColor rgb="FF003366"/>
      <rgbColor rgb="FF339966"/>
      <rgbColor rgb="FF003300"/>
      <rgbColor rgb="FF333300"/>
      <rgbColor rgb="FFA32A22"/>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00"/>
  </cols>
  <sheetData>
    <row r="1" customFormat="false" ht="19.7" hidden="false" customHeight="false" outlineLevel="0" collapsed="false">
      <c r="B1" s="1" t="s">
        <v>0</v>
      </c>
    </row>
    <row r="2" customFormat="false" ht="15" hidden="false" customHeight="false" outlineLevel="0" collapsed="false">
      <c r="B2" s="2" t="s">
        <v>1</v>
      </c>
    </row>
    <row r="4" customFormat="false" ht="36" hidden="false" customHeight="true" outlineLevel="0" collapsed="false">
      <c r="B4" s="3" t="s">
        <v>2</v>
      </c>
      <c r="C4" s="4" t="s">
        <v>3</v>
      </c>
    </row>
    <row r="5" customFormat="false" ht="36" hidden="false" customHeight="true" outlineLevel="0" collapsed="false">
      <c r="B5" s="3" t="s">
        <v>4</v>
      </c>
      <c r="C5" s="4" t="s">
        <v>5</v>
      </c>
    </row>
    <row r="6" customFormat="false" ht="24" hidden="false" customHeight="true" outlineLevel="0" collapsed="false">
      <c r="B6" s="3" t="s">
        <v>6</v>
      </c>
      <c r="C6" s="4" t="s">
        <v>7</v>
      </c>
    </row>
    <row r="7" customFormat="false" ht="36" hidden="false" customHeight="true" outlineLevel="0" collapsed="false">
      <c r="B7" s="3" t="s">
        <v>8</v>
      </c>
      <c r="C7" s="4" t="s">
        <v>9</v>
      </c>
    </row>
    <row r="8" customFormat="false" ht="24" hidden="false" customHeight="true" outlineLevel="0" collapsed="false">
      <c r="B8" s="3" t="s">
        <v>10</v>
      </c>
      <c r="C8" s="4" t="s">
        <v>11</v>
      </c>
    </row>
    <row r="9" customFormat="false" ht="24" hidden="false" customHeight="true" outlineLevel="0" collapsed="false">
      <c r="B9" s="3" t="s">
        <v>12</v>
      </c>
      <c r="C9" s="4" t="s">
        <v>13</v>
      </c>
    </row>
    <row r="10" customFormat="false" ht="13.5" hidden="false" customHeight="true" outlineLevel="0" collapsed="false">
      <c r="B10" s="3"/>
      <c r="C10" s="4"/>
    </row>
    <row r="11" customFormat="false" ht="24" hidden="false" customHeight="true" outlineLevel="0" collapsed="false">
      <c r="B11" s="3" t="s">
        <v>14</v>
      </c>
      <c r="C11" s="4" t="s">
        <v>15</v>
      </c>
    </row>
    <row r="12" customFormat="false" ht="13.5" hidden="false" customHeight="true" outlineLevel="0" collapsed="false">
      <c r="B12" s="3" t="s">
        <v>16</v>
      </c>
      <c r="C12" s="4" t="s">
        <v>17</v>
      </c>
    </row>
    <row r="13" customFormat="false" ht="13.5" hidden="false" customHeight="true" outlineLevel="0" collapsed="false">
      <c r="B13" s="3"/>
      <c r="C13" s="4"/>
    </row>
    <row r="14" customFormat="false" ht="36" hidden="false" customHeight="true" outlineLevel="0" collapsed="false">
      <c r="B14" s="3" t="s">
        <v>18</v>
      </c>
      <c r="C14" s="4" t="s">
        <v>19</v>
      </c>
    </row>
    <row r="15" customFormat="false" ht="36" hidden="false" customHeight="true" outlineLevel="0" collapsed="false">
      <c r="B15" s="3" t="s">
        <v>20</v>
      </c>
      <c r="C15" s="4"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13" min="2" style="0" width="11"/>
  </cols>
  <sheetData>
    <row r="1" customFormat="false" ht="16.15" hidden="false" customHeight="false" outlineLevel="0" collapsed="false">
      <c r="A1" s="5" t="s">
        <v>22</v>
      </c>
    </row>
    <row r="2" customFormat="false" ht="15" hidden="false" customHeight="false" outlineLevel="0" collapsed="false">
      <c r="A2" s="6" t="s">
        <v>23</v>
      </c>
    </row>
    <row r="4" customFormat="false" ht="39.75" hidden="false" customHeight="true" outlineLevel="0" collapsed="false">
      <c r="A4" s="7" t="s">
        <v>24</v>
      </c>
      <c r="B4" s="7" t="s">
        <v>25</v>
      </c>
      <c r="C4" s="7" t="s">
        <v>26</v>
      </c>
      <c r="D4" s="7" t="s">
        <v>27</v>
      </c>
      <c r="E4" s="7" t="s">
        <v>28</v>
      </c>
      <c r="F4" s="7" t="s">
        <v>29</v>
      </c>
      <c r="G4" s="7" t="s">
        <v>30</v>
      </c>
      <c r="H4" s="7" t="s">
        <v>31</v>
      </c>
      <c r="I4" s="7" t="s">
        <v>32</v>
      </c>
      <c r="J4" s="7" t="s">
        <v>33</v>
      </c>
      <c r="K4" s="7" t="s">
        <v>34</v>
      </c>
      <c r="L4" s="7" t="s">
        <v>35</v>
      </c>
      <c r="M4" s="7" t="s">
        <v>36</v>
      </c>
    </row>
    <row r="5" customFormat="false" ht="15" hidden="false" customHeight="false" outlineLevel="0" collapsed="false">
      <c r="A5" s="8" t="s">
        <v>37</v>
      </c>
      <c r="B5" s="9" t="n">
        <v>100</v>
      </c>
      <c r="C5" s="9" t="n">
        <v>15</v>
      </c>
      <c r="D5" s="9" t="n">
        <v>100</v>
      </c>
      <c r="E5" s="9" t="n">
        <v>24</v>
      </c>
      <c r="F5" s="9" t="n">
        <v>4</v>
      </c>
      <c r="G5" s="9" t="n">
        <v>108</v>
      </c>
      <c r="H5" s="9" t="n">
        <v>49</v>
      </c>
      <c r="I5" s="9" t="n">
        <v>108</v>
      </c>
      <c r="J5" s="9" t="n">
        <v>100</v>
      </c>
      <c r="K5" s="9" t="n">
        <v>168</v>
      </c>
      <c r="L5" s="9" t="n">
        <v>1</v>
      </c>
      <c r="M5" s="9" t="n">
        <v>1</v>
      </c>
    </row>
    <row r="6" customFormat="false" ht="15" hidden="false" customHeight="false" outlineLevel="0" collapsed="false">
      <c r="A6" s="8" t="s">
        <v>38</v>
      </c>
      <c r="B6" s="9" t="n">
        <v>100</v>
      </c>
      <c r="C6" s="9" t="n">
        <v>26</v>
      </c>
      <c r="D6" s="9" t="n">
        <v>92</v>
      </c>
      <c r="E6" s="9" t="n">
        <v>21</v>
      </c>
      <c r="F6" s="9" t="n">
        <v>3</v>
      </c>
      <c r="G6" s="9" t="n">
        <v>94</v>
      </c>
      <c r="H6" s="9" t="n">
        <v>27</v>
      </c>
      <c r="I6" s="9" t="n">
        <v>102</v>
      </c>
      <c r="J6" s="9" t="n">
        <v>100</v>
      </c>
      <c r="K6" s="9" t="n">
        <v>167</v>
      </c>
      <c r="L6" s="9" t="n">
        <v>2</v>
      </c>
      <c r="M6" s="9" t="n">
        <v>2</v>
      </c>
    </row>
    <row r="7" customFormat="false" ht="15" hidden="false" customHeight="false" outlineLevel="0" collapsed="false">
      <c r="A7" s="8" t="s">
        <v>39</v>
      </c>
      <c r="B7" s="9" t="n">
        <v>100</v>
      </c>
      <c r="C7" s="9" t="n">
        <v>36</v>
      </c>
      <c r="D7" s="9" t="n">
        <v>92</v>
      </c>
      <c r="E7" s="9" t="n">
        <v>21</v>
      </c>
      <c r="F7" s="9" t="n">
        <v>5</v>
      </c>
      <c r="G7" s="9" t="n">
        <v>95</v>
      </c>
      <c r="H7" s="9" t="n">
        <v>34</v>
      </c>
      <c r="I7" s="9" t="n">
        <v>118</v>
      </c>
      <c r="J7" s="9" t="n">
        <v>100</v>
      </c>
      <c r="K7" s="9" t="n">
        <v>151</v>
      </c>
      <c r="L7" s="9" t="n">
        <v>3</v>
      </c>
      <c r="M7" s="9" t="n">
        <v>6</v>
      </c>
    </row>
    <row r="8" customFormat="false" ht="15" hidden="false" customHeight="false" outlineLevel="0" collapsed="false">
      <c r="A8" s="8" t="s">
        <v>40</v>
      </c>
      <c r="B8" s="9" t="n">
        <v>100</v>
      </c>
      <c r="C8" s="9" t="n">
        <v>37</v>
      </c>
      <c r="D8" s="9" t="n">
        <v>93</v>
      </c>
      <c r="E8" s="9" t="n">
        <v>24</v>
      </c>
      <c r="F8" s="9" t="n">
        <v>5</v>
      </c>
      <c r="G8" s="9" t="n">
        <v>96</v>
      </c>
      <c r="H8" s="9" t="n">
        <v>31</v>
      </c>
      <c r="I8" s="9" t="n">
        <v>105</v>
      </c>
      <c r="J8" s="9" t="n">
        <v>100</v>
      </c>
      <c r="K8" s="9" t="n">
        <v>150</v>
      </c>
      <c r="L8" s="9" t="n">
        <v>4</v>
      </c>
      <c r="M8" s="9" t="n">
        <v>7</v>
      </c>
    </row>
    <row r="9" customFormat="false" ht="15" hidden="false" customHeight="false" outlineLevel="0" collapsed="false">
      <c r="A9" s="8" t="s">
        <v>41</v>
      </c>
      <c r="B9" s="9" t="n">
        <v>100</v>
      </c>
      <c r="C9" s="9" t="n">
        <v>44</v>
      </c>
      <c r="D9" s="9" t="n">
        <v>95</v>
      </c>
      <c r="E9" s="9" t="n">
        <v>21</v>
      </c>
      <c r="F9" s="9" t="n">
        <v>5</v>
      </c>
      <c r="G9" s="9" t="n">
        <v>90</v>
      </c>
      <c r="H9" s="9" t="n">
        <v>33</v>
      </c>
      <c r="I9" s="9" t="n">
        <v>136</v>
      </c>
      <c r="J9" s="9" t="n">
        <v>100</v>
      </c>
      <c r="K9" s="9" t="n">
        <v>145</v>
      </c>
      <c r="L9" s="9" t="n">
        <v>5</v>
      </c>
      <c r="M9" s="9" t="n">
        <v>8</v>
      </c>
    </row>
    <row r="10" customFormat="false" ht="15" hidden="false" customHeight="false" outlineLevel="0" collapsed="false">
      <c r="A10" s="8" t="s">
        <v>42</v>
      </c>
      <c r="B10" s="9" t="n">
        <v>93</v>
      </c>
      <c r="C10" s="9" t="n">
        <v>37</v>
      </c>
      <c r="D10" s="9" t="n">
        <v>98</v>
      </c>
      <c r="E10" s="9" t="n">
        <v>21</v>
      </c>
      <c r="F10" s="9" t="n">
        <v>4</v>
      </c>
      <c r="G10" s="9" t="n">
        <v>97</v>
      </c>
      <c r="H10" s="9" t="n">
        <v>55</v>
      </c>
      <c r="I10" s="9" t="n">
        <v>118</v>
      </c>
      <c r="J10" s="9" t="n">
        <v>100</v>
      </c>
      <c r="K10" s="9" t="n">
        <v>141</v>
      </c>
      <c r="L10" s="9" t="n">
        <v>6</v>
      </c>
      <c r="M10" s="9" t="n">
        <v>12</v>
      </c>
    </row>
    <row r="11" customFormat="false" ht="15" hidden="false" customHeight="false" outlineLevel="0" collapsed="false">
      <c r="A11" s="8" t="s">
        <v>43</v>
      </c>
      <c r="B11" s="9" t="n">
        <v>100</v>
      </c>
      <c r="C11" s="9" t="n">
        <v>35</v>
      </c>
      <c r="D11" s="9" t="n">
        <v>83</v>
      </c>
      <c r="E11" s="9" t="n">
        <v>23</v>
      </c>
      <c r="F11" s="9" t="n">
        <v>5</v>
      </c>
      <c r="G11" s="9" t="n">
        <v>95</v>
      </c>
      <c r="H11" s="9" t="n">
        <v>49</v>
      </c>
      <c r="I11" s="9" t="n">
        <v>102</v>
      </c>
      <c r="J11" s="9" t="n">
        <v>100</v>
      </c>
      <c r="K11" s="9" t="n">
        <v>140</v>
      </c>
      <c r="L11" s="9" t="n">
        <v>7</v>
      </c>
      <c r="M11" s="9" t="n">
        <v>13</v>
      </c>
    </row>
    <row r="12" customFormat="false" ht="15" hidden="false" customHeight="false" outlineLevel="0" collapsed="false">
      <c r="A12" s="8" t="s">
        <v>44</v>
      </c>
      <c r="B12" s="9" t="n">
        <v>93</v>
      </c>
      <c r="C12" s="9" t="n">
        <v>37</v>
      </c>
      <c r="D12" s="9" t="n">
        <v>83</v>
      </c>
      <c r="E12" s="9" t="n">
        <v>23</v>
      </c>
      <c r="F12" s="9" t="n">
        <v>4</v>
      </c>
      <c r="G12" s="9" t="n">
        <v>103</v>
      </c>
      <c r="H12" s="9" t="n">
        <v>54</v>
      </c>
      <c r="I12" s="9" t="n">
        <v>106</v>
      </c>
      <c r="J12" s="9" t="n">
        <v>100</v>
      </c>
      <c r="K12" s="9" t="n">
        <v>131</v>
      </c>
      <c r="L12" s="9" t="n">
        <v>8</v>
      </c>
      <c r="M12" s="9" t="n">
        <v>18</v>
      </c>
    </row>
    <row r="13" customFormat="false" ht="15" hidden="false" customHeight="false" outlineLevel="0" collapsed="false">
      <c r="A13" s="8" t="s">
        <v>45</v>
      </c>
      <c r="B13" s="9" t="n">
        <v>100</v>
      </c>
      <c r="C13" s="9" t="n">
        <v>40</v>
      </c>
      <c r="D13" s="9" t="n">
        <v>75</v>
      </c>
      <c r="E13" s="9" t="n">
        <v>20</v>
      </c>
      <c r="F13" s="9" t="n">
        <v>4</v>
      </c>
      <c r="G13" s="9" t="n">
        <v>99</v>
      </c>
      <c r="H13" s="9" t="n">
        <v>47</v>
      </c>
      <c r="I13" s="9" t="n">
        <v>103</v>
      </c>
      <c r="J13" s="9" t="n">
        <v>100</v>
      </c>
      <c r="K13" s="9" t="n">
        <v>129</v>
      </c>
      <c r="L13" s="9" t="n">
        <v>9</v>
      </c>
      <c r="M13" s="9" t="n">
        <v>19</v>
      </c>
    </row>
    <row r="14" customFormat="false" ht="15" hidden="false" customHeight="false" outlineLevel="0" collapsed="false">
      <c r="A14" s="8" t="s">
        <v>46</v>
      </c>
      <c r="B14" s="9" t="n">
        <v>100</v>
      </c>
      <c r="C14" s="9" t="n">
        <v>21</v>
      </c>
      <c r="D14" s="9" t="n">
        <v>73</v>
      </c>
      <c r="E14" s="9" t="n">
        <v>20</v>
      </c>
      <c r="F14" s="9" t="n">
        <v>8</v>
      </c>
      <c r="G14" s="9" t="n">
        <v>85</v>
      </c>
      <c r="H14" s="9" t="n">
        <v>38</v>
      </c>
      <c r="I14" s="9" t="n">
        <v>102</v>
      </c>
      <c r="J14" s="9" t="n">
        <v>100</v>
      </c>
      <c r="K14" s="9" t="n">
        <v>111</v>
      </c>
      <c r="L14" s="9" t="n">
        <v>10</v>
      </c>
      <c r="M14" s="9" t="n">
        <v>27</v>
      </c>
    </row>
    <row r="15" customFormat="false" ht="15" hidden="false" customHeight="false" outlineLevel="0" collapsed="false">
      <c r="A15" s="8" t="s">
        <v>47</v>
      </c>
      <c r="B15" s="9" t="n">
        <v>100</v>
      </c>
      <c r="C15" s="9" t="n">
        <v>52</v>
      </c>
      <c r="D15" s="9" t="n">
        <v>65</v>
      </c>
      <c r="E15" s="9" t="n">
        <v>21</v>
      </c>
      <c r="F15" s="9" t="n">
        <v>5</v>
      </c>
      <c r="G15" s="9" t="n">
        <v>92</v>
      </c>
      <c r="H15" s="9" t="n">
        <v>56</v>
      </c>
      <c r="I15" s="9" t="n">
        <v>85</v>
      </c>
      <c r="J15" s="9" t="n">
        <v>100</v>
      </c>
      <c r="K15" s="9" t="n">
        <v>110</v>
      </c>
      <c r="L15" s="9" t="n">
        <v>11</v>
      </c>
      <c r="M15" s="9" t="n">
        <v>28</v>
      </c>
    </row>
    <row r="16" customFormat="false" ht="15" hidden="false" customHeight="false" outlineLevel="0" collapsed="false">
      <c r="A16" s="8" t="s">
        <v>48</v>
      </c>
      <c r="B16" s="9" t="n">
        <v>96</v>
      </c>
      <c r="C16" s="9" t="n">
        <v>49</v>
      </c>
      <c r="D16" s="9" t="n">
        <v>64</v>
      </c>
      <c r="E16" s="9" t="n">
        <v>18</v>
      </c>
      <c r="F16" s="9" t="n">
        <v>7</v>
      </c>
      <c r="G16" s="9" t="n">
        <v>97</v>
      </c>
      <c r="H16" s="9" t="n">
        <v>28</v>
      </c>
      <c r="I16" s="9" t="n">
        <v>70</v>
      </c>
      <c r="J16" s="9" t="n">
        <v>100</v>
      </c>
      <c r="K16" s="9" t="n">
        <v>107</v>
      </c>
      <c r="L16" s="9" t="n">
        <v>12</v>
      </c>
      <c r="M16" s="9" t="n">
        <v>32</v>
      </c>
    </row>
    <row r="17" customFormat="false" ht="15" hidden="false" customHeight="false" outlineLevel="0" collapsed="false">
      <c r="A17" s="8" t="s">
        <v>49</v>
      </c>
      <c r="B17" s="9" t="n">
        <v>68</v>
      </c>
      <c r="C17" s="9" t="n">
        <v>33</v>
      </c>
      <c r="D17" s="9" t="n">
        <v>74</v>
      </c>
      <c r="E17" s="9" t="n">
        <v>21</v>
      </c>
      <c r="F17" s="9" t="n">
        <v>5</v>
      </c>
      <c r="G17" s="9" t="n">
        <v>95</v>
      </c>
      <c r="H17" s="9" t="n">
        <v>53</v>
      </c>
      <c r="I17" s="9" t="n">
        <v>70</v>
      </c>
      <c r="J17" s="9" t="n">
        <v>100</v>
      </c>
      <c r="K17" s="9" t="n">
        <v>102</v>
      </c>
      <c r="L17" s="9" t="n">
        <v>13</v>
      </c>
      <c r="M17" s="9" t="n">
        <v>36</v>
      </c>
    </row>
    <row r="18" customFormat="false" ht="15" hidden="false" customHeight="false" outlineLevel="0" collapsed="false">
      <c r="A18" s="10" t="s">
        <v>50</v>
      </c>
      <c r="B18" s="11" t="n">
        <v>95</v>
      </c>
      <c r="C18" s="11" t="n">
        <v>48</v>
      </c>
      <c r="D18" s="11" t="n">
        <v>79</v>
      </c>
      <c r="E18" s="11" t="n">
        <v>7</v>
      </c>
      <c r="F18" s="11" t="n">
        <v>7</v>
      </c>
      <c r="G18" s="11" t="n">
        <v>94</v>
      </c>
      <c r="H18" s="11" t="n">
        <v>61</v>
      </c>
      <c r="I18" s="11" t="n">
        <v>105</v>
      </c>
      <c r="J18" s="11" t="n">
        <v>100</v>
      </c>
      <c r="K18" s="11" t="n">
        <v>101</v>
      </c>
      <c r="L18" s="11" t="n">
        <v>14</v>
      </c>
      <c r="M18" s="11" t="n">
        <v>37</v>
      </c>
    </row>
    <row r="19" customFormat="false" ht="15" hidden="false" customHeight="false" outlineLevel="0" collapsed="false">
      <c r="A19" s="8" t="s">
        <v>51</v>
      </c>
      <c r="B19" s="9" t="n">
        <v>100</v>
      </c>
      <c r="C19" s="9" t="n">
        <v>45</v>
      </c>
      <c r="D19" s="9" t="n">
        <v>48</v>
      </c>
      <c r="E19" s="9" t="n">
        <v>24</v>
      </c>
      <c r="F19" s="9" t="n">
        <v>6</v>
      </c>
      <c r="G19" s="9" t="n">
        <v>93</v>
      </c>
      <c r="H19" s="9" t="n">
        <v>43</v>
      </c>
      <c r="I19" s="9" t="n">
        <v>98</v>
      </c>
      <c r="J19" s="9" t="n">
        <v>99</v>
      </c>
      <c r="K19" s="9" t="n">
        <v>101</v>
      </c>
      <c r="L19" s="9" t="n">
        <v>15</v>
      </c>
      <c r="M19" s="9" t="n">
        <v>38</v>
      </c>
    </row>
    <row r="20" customFormat="false" ht="15" hidden="false" customHeight="false" outlineLevel="0" collapsed="false">
      <c r="A20" s="8" t="s">
        <v>52</v>
      </c>
      <c r="B20" s="9" t="n">
        <v>93</v>
      </c>
      <c r="C20" s="9" t="n">
        <v>42</v>
      </c>
      <c r="D20" s="9" t="n">
        <v>47</v>
      </c>
      <c r="E20" s="9" t="n">
        <v>20</v>
      </c>
      <c r="F20" s="9" t="n">
        <v>6</v>
      </c>
      <c r="G20" s="9" t="n">
        <v>112</v>
      </c>
      <c r="H20" s="9" t="n">
        <v>37</v>
      </c>
      <c r="I20" s="9" t="n">
        <v>97</v>
      </c>
      <c r="J20" s="9" t="n">
        <v>100</v>
      </c>
      <c r="K20" s="9" t="n">
        <v>93</v>
      </c>
      <c r="L20" s="9" t="n">
        <v>16</v>
      </c>
      <c r="M20" s="9" t="n">
        <v>42</v>
      </c>
    </row>
    <row r="21" customFormat="false" ht="15" hidden="false" customHeight="false" outlineLevel="0" collapsed="false">
      <c r="A21" s="8" t="s">
        <v>53</v>
      </c>
      <c r="B21" s="9" t="n">
        <v>100</v>
      </c>
      <c r="C21" s="9" t="n">
        <v>58</v>
      </c>
      <c r="D21" s="9" t="n">
        <v>37</v>
      </c>
      <c r="E21" s="9" t="n">
        <v>18</v>
      </c>
      <c r="F21" s="9" t="n">
        <v>7</v>
      </c>
      <c r="G21" s="9" t="n">
        <v>75</v>
      </c>
      <c r="H21" s="9" t="n">
        <v>65</v>
      </c>
      <c r="I21" s="9" t="n">
        <v>101</v>
      </c>
      <c r="J21" s="9" t="n">
        <v>100</v>
      </c>
      <c r="K21" s="9" t="n">
        <v>71</v>
      </c>
      <c r="L21" s="9" t="n">
        <v>17</v>
      </c>
      <c r="M21" s="9" t="n">
        <v>57</v>
      </c>
    </row>
    <row r="22" customFormat="false" ht="15" hidden="false" customHeight="false" outlineLevel="0" collapsed="false">
      <c r="A22" s="8" t="s">
        <v>54</v>
      </c>
      <c r="B22" s="9" t="n">
        <v>92</v>
      </c>
      <c r="C22" s="9" t="n">
        <v>55</v>
      </c>
      <c r="D22" s="9" t="n">
        <v>70</v>
      </c>
      <c r="E22" s="9" t="n">
        <v>15</v>
      </c>
      <c r="F22" s="9" t="n">
        <v>8</v>
      </c>
      <c r="G22" s="9" t="n">
        <v>90</v>
      </c>
      <c r="H22" s="9" t="n">
        <v>37</v>
      </c>
      <c r="I22" s="9" t="n">
        <v>104</v>
      </c>
      <c r="J22" s="9" t="n">
        <v>100</v>
      </c>
      <c r="K22" s="9" t="n">
        <v>68</v>
      </c>
      <c r="L22" s="9" t="n">
        <v>18</v>
      </c>
      <c r="M22" s="9" t="n">
        <v>59</v>
      </c>
    </row>
    <row r="24" customFormat="false" ht="15" hidden="false" customHeight="false" outlineLevel="0" collapsed="false">
      <c r="A24" s="12" t="s">
        <v>55</v>
      </c>
      <c r="B24" s="13" t="n">
        <f aca="false">IFERROR(ROUND(AVERAGE(B5:B22),1),"—")</f>
        <v>96.1</v>
      </c>
      <c r="C24" s="13" t="n">
        <f aca="false">IFERROR(ROUND(AVERAGE(C5:C22),1),"—")</f>
        <v>39.4</v>
      </c>
      <c r="D24" s="13" t="n">
        <f aca="false">IFERROR(ROUND(AVERAGE(D5:D22),1),"—")</f>
        <v>76</v>
      </c>
      <c r="E24" s="13" t="n">
        <f aca="false">IFERROR(ROUND(AVERAGE(E5:E22),1),"—")</f>
        <v>20.1</v>
      </c>
      <c r="F24" s="13" t="n">
        <f aca="false">IFERROR(ROUND(AVERAGE(F5:F22),1),"—")</f>
        <v>5.4</v>
      </c>
      <c r="G24" s="13" t="n">
        <f aca="false">IFERROR(ROUND(AVERAGE(G5:G22),1),"—")</f>
        <v>95</v>
      </c>
      <c r="H24" s="13" t="n">
        <f aca="false">IFERROR(ROUND(AVERAGE(H5:H22),1),"—")</f>
        <v>44.3</v>
      </c>
      <c r="I24" s="13" t="n">
        <f aca="false">IFERROR(ROUND(AVERAGE(I5:I22),1),"—")</f>
        <v>101.7</v>
      </c>
      <c r="J24" s="13" t="n">
        <f aca="false">IFERROR(ROUND(AVERAGE(J5:J22),1),"—")</f>
        <v>99.9</v>
      </c>
    </row>
    <row r="26" customFormat="false" ht="15" hidden="false" customHeight="false" outlineLevel="0" collapsed="false">
      <c r="A26" s="14"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13" min="2" style="0" width="11"/>
  </cols>
  <sheetData>
    <row r="1" customFormat="false" ht="16.15" hidden="false" customHeight="false" outlineLevel="0" collapsed="false">
      <c r="A1" s="5" t="s">
        <v>57</v>
      </c>
    </row>
    <row r="2" customFormat="false" ht="15" hidden="false" customHeight="false" outlineLevel="0" collapsed="false">
      <c r="A2" s="6" t="s">
        <v>23</v>
      </c>
    </row>
    <row r="4" customFormat="false" ht="39.75" hidden="false" customHeight="true" outlineLevel="0" collapsed="false">
      <c r="A4" s="7" t="s">
        <v>24</v>
      </c>
      <c r="B4" s="7" t="s">
        <v>25</v>
      </c>
      <c r="C4" s="7" t="s">
        <v>26</v>
      </c>
      <c r="D4" s="7" t="s">
        <v>27</v>
      </c>
      <c r="E4" s="7" t="s">
        <v>28</v>
      </c>
      <c r="F4" s="7" t="s">
        <v>29</v>
      </c>
      <c r="G4" s="7" t="s">
        <v>30</v>
      </c>
      <c r="H4" s="7" t="s">
        <v>31</v>
      </c>
      <c r="I4" s="7" t="s">
        <v>32</v>
      </c>
      <c r="J4" s="7" t="s">
        <v>33</v>
      </c>
      <c r="K4" s="7" t="s">
        <v>34</v>
      </c>
      <c r="L4" s="7" t="s">
        <v>35</v>
      </c>
      <c r="M4" s="7" t="s">
        <v>36</v>
      </c>
    </row>
    <row r="5" customFormat="false" ht="15" hidden="false" customHeight="false" outlineLevel="0" collapsed="false">
      <c r="A5" s="8" t="s">
        <v>58</v>
      </c>
      <c r="B5" s="9" t="n">
        <v>100</v>
      </c>
      <c r="C5" s="9" t="n">
        <v>28</v>
      </c>
      <c r="D5" s="9" t="n">
        <v>95</v>
      </c>
      <c r="E5" s="9" t="n">
        <v>23</v>
      </c>
      <c r="F5" s="9" t="n">
        <v>4</v>
      </c>
      <c r="G5" s="9" t="n">
        <v>97</v>
      </c>
      <c r="H5" s="9" t="n">
        <v>50</v>
      </c>
      <c r="I5" s="9" t="n">
        <v>104</v>
      </c>
      <c r="J5" s="9" t="n">
        <v>100</v>
      </c>
      <c r="K5" s="15" t="s">
        <v>59</v>
      </c>
      <c r="L5" s="9" t="n">
        <v>1</v>
      </c>
      <c r="M5" s="15" t="s">
        <v>59</v>
      </c>
    </row>
    <row r="6" customFormat="false" ht="15" hidden="false" customHeight="false" outlineLevel="0" collapsed="false">
      <c r="A6" s="8" t="s">
        <v>60</v>
      </c>
      <c r="B6" s="9" t="n">
        <v>100</v>
      </c>
      <c r="C6" s="9" t="n">
        <v>31</v>
      </c>
      <c r="D6" s="9" t="n">
        <v>96</v>
      </c>
      <c r="E6" s="9" t="n">
        <v>24</v>
      </c>
      <c r="F6" s="9" t="n">
        <v>5</v>
      </c>
      <c r="G6" s="9" t="n">
        <v>101</v>
      </c>
      <c r="H6" s="9" t="n">
        <v>52</v>
      </c>
      <c r="I6" s="9" t="n">
        <v>123</v>
      </c>
      <c r="J6" s="9" t="n">
        <v>100</v>
      </c>
      <c r="K6" s="15" t="s">
        <v>59</v>
      </c>
      <c r="L6" s="9" t="n">
        <v>2</v>
      </c>
      <c r="M6" s="15" t="s">
        <v>59</v>
      </c>
    </row>
    <row r="7" customFormat="false" ht="15" hidden="false" customHeight="false" outlineLevel="0" collapsed="false">
      <c r="A7" s="8" t="s">
        <v>61</v>
      </c>
      <c r="B7" s="9" t="n">
        <v>100</v>
      </c>
      <c r="C7" s="9" t="n">
        <v>29</v>
      </c>
      <c r="D7" s="9" t="n">
        <v>92</v>
      </c>
      <c r="E7" s="9" t="n">
        <v>20</v>
      </c>
      <c r="F7" s="9" t="n">
        <v>4</v>
      </c>
      <c r="G7" s="9" t="n">
        <v>103</v>
      </c>
      <c r="H7" s="9" t="n">
        <v>53</v>
      </c>
      <c r="I7" s="9" t="n">
        <v>111</v>
      </c>
      <c r="J7" s="9" t="n">
        <v>100</v>
      </c>
      <c r="K7" s="15" t="s">
        <v>59</v>
      </c>
      <c r="L7" s="9" t="n">
        <v>3</v>
      </c>
      <c r="M7" s="15" t="s">
        <v>59</v>
      </c>
    </row>
    <row r="8" customFormat="false" ht="15" hidden="false" customHeight="false" outlineLevel="0" collapsed="false">
      <c r="A8" s="8" t="s">
        <v>62</v>
      </c>
      <c r="B8" s="9" t="n">
        <v>100</v>
      </c>
      <c r="C8" s="9" t="n">
        <v>20</v>
      </c>
      <c r="D8" s="9" t="n">
        <v>77</v>
      </c>
      <c r="E8" s="9" t="n">
        <v>20</v>
      </c>
      <c r="F8" s="9" t="n">
        <v>7</v>
      </c>
      <c r="G8" s="9" t="n">
        <v>104</v>
      </c>
      <c r="H8" s="9" t="n">
        <v>40</v>
      </c>
      <c r="I8" s="9" t="n">
        <v>104</v>
      </c>
      <c r="J8" s="9" t="n">
        <v>100</v>
      </c>
      <c r="K8" s="15" t="s">
        <v>59</v>
      </c>
      <c r="L8" s="9" t="n">
        <v>4</v>
      </c>
      <c r="M8" s="15" t="s">
        <v>59</v>
      </c>
    </row>
    <row r="9" customFormat="false" ht="15" hidden="false" customHeight="false" outlineLevel="0" collapsed="false">
      <c r="A9" s="8" t="s">
        <v>63</v>
      </c>
      <c r="B9" s="9" t="n">
        <v>100</v>
      </c>
      <c r="C9" s="9" t="n">
        <v>35</v>
      </c>
      <c r="D9" s="9" t="n">
        <v>93</v>
      </c>
      <c r="E9" s="9" t="n">
        <v>22</v>
      </c>
      <c r="F9" s="9" t="n">
        <v>5</v>
      </c>
      <c r="G9" s="9" t="n">
        <v>94</v>
      </c>
      <c r="H9" s="9" t="n">
        <v>52</v>
      </c>
      <c r="I9" s="9" t="n">
        <v>106</v>
      </c>
      <c r="J9" s="9" t="n">
        <v>100</v>
      </c>
      <c r="K9" s="15" t="s">
        <v>59</v>
      </c>
      <c r="L9" s="9" t="n">
        <v>5</v>
      </c>
      <c r="M9" s="15" t="s">
        <v>59</v>
      </c>
    </row>
    <row r="10" customFormat="false" ht="15" hidden="false" customHeight="false" outlineLevel="0" collapsed="false">
      <c r="A10" s="8" t="s">
        <v>64</v>
      </c>
      <c r="B10" s="9" t="n">
        <v>93</v>
      </c>
      <c r="C10" s="9" t="n">
        <v>31</v>
      </c>
      <c r="D10" s="9" t="n">
        <v>89</v>
      </c>
      <c r="E10" s="9" t="n">
        <v>24</v>
      </c>
      <c r="F10" s="9" t="n">
        <v>4</v>
      </c>
      <c r="G10" s="9" t="n">
        <v>103</v>
      </c>
      <c r="H10" s="9" t="n">
        <v>52</v>
      </c>
      <c r="I10" s="9" t="n">
        <v>103</v>
      </c>
      <c r="J10" s="9" t="n">
        <v>100</v>
      </c>
      <c r="K10" s="15" t="s">
        <v>59</v>
      </c>
      <c r="L10" s="9" t="n">
        <v>6</v>
      </c>
      <c r="M10" s="15" t="s">
        <v>59</v>
      </c>
    </row>
    <row r="11" customFormat="false" ht="15" hidden="false" customHeight="false" outlineLevel="0" collapsed="false">
      <c r="A11" s="8" t="s">
        <v>65</v>
      </c>
      <c r="B11" s="9" t="n">
        <v>93</v>
      </c>
      <c r="C11" s="9" t="n">
        <v>25</v>
      </c>
      <c r="D11" s="9" t="n">
        <v>91</v>
      </c>
      <c r="E11" s="9" t="n">
        <v>24</v>
      </c>
      <c r="F11" s="9" t="n">
        <v>7</v>
      </c>
      <c r="G11" s="9" t="n">
        <v>96</v>
      </c>
      <c r="H11" s="9" t="n">
        <v>41</v>
      </c>
      <c r="I11" s="9" t="n">
        <v>109</v>
      </c>
      <c r="J11" s="9" t="n">
        <v>100</v>
      </c>
      <c r="K11" s="15" t="s">
        <v>59</v>
      </c>
      <c r="L11" s="9" t="n">
        <v>7</v>
      </c>
      <c r="M11" s="15" t="s">
        <v>59</v>
      </c>
    </row>
    <row r="12" customFormat="false" ht="15" hidden="false" customHeight="false" outlineLevel="0" collapsed="false">
      <c r="A12" s="8" t="s">
        <v>66</v>
      </c>
      <c r="B12" s="9" t="n">
        <v>99</v>
      </c>
      <c r="C12" s="9" t="n">
        <v>35</v>
      </c>
      <c r="D12" s="9" t="n">
        <v>73</v>
      </c>
      <c r="E12" s="9" t="n">
        <v>24</v>
      </c>
      <c r="F12" s="9" t="n">
        <v>5</v>
      </c>
      <c r="G12" s="9" t="n">
        <v>102</v>
      </c>
      <c r="H12" s="9" t="n">
        <v>54</v>
      </c>
      <c r="I12" s="9" t="n">
        <v>101</v>
      </c>
      <c r="J12" s="9" t="n">
        <v>100</v>
      </c>
      <c r="K12" s="15" t="s">
        <v>59</v>
      </c>
      <c r="L12" s="9" t="n">
        <v>8</v>
      </c>
      <c r="M12" s="15" t="s">
        <v>59</v>
      </c>
    </row>
    <row r="13" customFormat="false" ht="15" hidden="false" customHeight="false" outlineLevel="0" collapsed="false">
      <c r="A13" s="8" t="s">
        <v>67</v>
      </c>
      <c r="B13" s="9" t="n">
        <v>98</v>
      </c>
      <c r="C13" s="9" t="n">
        <v>32</v>
      </c>
      <c r="D13" s="9" t="n">
        <v>82</v>
      </c>
      <c r="E13" s="9" t="n">
        <v>21</v>
      </c>
      <c r="F13" s="9" t="n">
        <v>6</v>
      </c>
      <c r="G13" s="9" t="n">
        <v>93</v>
      </c>
      <c r="H13" s="9" t="n">
        <v>34</v>
      </c>
      <c r="I13" s="9" t="n">
        <v>101</v>
      </c>
      <c r="J13" s="9" t="n">
        <v>100</v>
      </c>
      <c r="K13" s="15" t="s">
        <v>59</v>
      </c>
      <c r="L13" s="9" t="n">
        <v>9</v>
      </c>
      <c r="M13" s="15" t="s">
        <v>59</v>
      </c>
    </row>
    <row r="14" customFormat="false" ht="15" hidden="false" customHeight="false" outlineLevel="0" collapsed="false">
      <c r="A14" s="8" t="s">
        <v>68</v>
      </c>
      <c r="B14" s="9" t="n">
        <v>100</v>
      </c>
      <c r="C14" s="9" t="n">
        <v>39</v>
      </c>
      <c r="D14" s="9" t="n">
        <v>91</v>
      </c>
      <c r="E14" s="9" t="n">
        <v>23</v>
      </c>
      <c r="F14" s="9" t="n">
        <v>6</v>
      </c>
      <c r="G14" s="9" t="n">
        <v>102</v>
      </c>
      <c r="H14" s="9" t="n">
        <v>51</v>
      </c>
      <c r="I14" s="9" t="n">
        <v>103</v>
      </c>
      <c r="J14" s="9" t="n">
        <v>100</v>
      </c>
      <c r="K14" s="15" t="s">
        <v>59</v>
      </c>
      <c r="L14" s="9" t="n">
        <v>10</v>
      </c>
      <c r="M14" s="15" t="s">
        <v>59</v>
      </c>
    </row>
    <row r="15" customFormat="false" ht="15" hidden="false" customHeight="false" outlineLevel="0" collapsed="false">
      <c r="A15" s="8" t="s">
        <v>69</v>
      </c>
      <c r="B15" s="9" t="n">
        <v>100</v>
      </c>
      <c r="C15" s="9" t="n">
        <v>46</v>
      </c>
      <c r="D15" s="9" t="n">
        <v>52</v>
      </c>
      <c r="E15" s="9" t="n">
        <v>23</v>
      </c>
      <c r="F15" s="9" t="n">
        <v>5</v>
      </c>
      <c r="G15" s="9" t="n">
        <v>98</v>
      </c>
      <c r="H15" s="9" t="n">
        <v>50</v>
      </c>
      <c r="I15" s="9" t="n">
        <v>89</v>
      </c>
      <c r="J15" s="9" t="n">
        <v>100</v>
      </c>
      <c r="K15" s="15" t="s">
        <v>59</v>
      </c>
      <c r="L15" s="9" t="n">
        <v>11</v>
      </c>
      <c r="M15" s="15" t="s">
        <v>59</v>
      </c>
    </row>
    <row r="16" customFormat="false" ht="15" hidden="false" customHeight="false" outlineLevel="0" collapsed="false">
      <c r="A16" s="8" t="s">
        <v>70</v>
      </c>
      <c r="B16" s="9" t="n">
        <v>100</v>
      </c>
      <c r="C16" s="9" t="n">
        <v>36</v>
      </c>
      <c r="D16" s="9" t="n">
        <v>64</v>
      </c>
      <c r="E16" s="9" t="n">
        <v>24</v>
      </c>
      <c r="F16" s="9" t="n">
        <v>4</v>
      </c>
      <c r="G16" s="9" t="n">
        <v>84</v>
      </c>
      <c r="H16" s="9" t="n">
        <v>42</v>
      </c>
      <c r="I16" s="9" t="n">
        <v>113</v>
      </c>
      <c r="J16" s="9" t="n">
        <v>100</v>
      </c>
      <c r="K16" s="15" t="s">
        <v>59</v>
      </c>
      <c r="L16" s="9" t="n">
        <v>12</v>
      </c>
      <c r="M16" s="15" t="s">
        <v>59</v>
      </c>
    </row>
    <row r="17" customFormat="false" ht="15" hidden="false" customHeight="false" outlineLevel="0" collapsed="false">
      <c r="A17" s="8" t="s">
        <v>71</v>
      </c>
      <c r="B17" s="9" t="n">
        <v>98</v>
      </c>
      <c r="C17" s="9" t="n">
        <v>49</v>
      </c>
      <c r="D17" s="9" t="n">
        <v>77</v>
      </c>
      <c r="E17" s="9" t="n">
        <v>16</v>
      </c>
      <c r="F17" s="9" t="n">
        <v>10</v>
      </c>
      <c r="G17" s="9" t="n">
        <v>108</v>
      </c>
      <c r="H17" s="9" t="n">
        <v>27</v>
      </c>
      <c r="I17" s="9" t="n">
        <v>119</v>
      </c>
      <c r="J17" s="9" t="n">
        <v>100</v>
      </c>
      <c r="K17" s="15" t="s">
        <v>59</v>
      </c>
      <c r="L17" s="9" t="n">
        <v>13</v>
      </c>
      <c r="M17" s="15" t="s">
        <v>59</v>
      </c>
    </row>
    <row r="18" customFormat="false" ht="15" hidden="false" customHeight="false" outlineLevel="0" collapsed="false">
      <c r="A18" s="8" t="s">
        <v>72</v>
      </c>
      <c r="B18" s="9" t="n">
        <v>93</v>
      </c>
      <c r="C18" s="9" t="n">
        <v>33</v>
      </c>
      <c r="D18" s="9" t="n">
        <v>80</v>
      </c>
      <c r="E18" s="9" t="n">
        <v>17</v>
      </c>
      <c r="F18" s="9" t="n">
        <v>7</v>
      </c>
      <c r="G18" s="9" t="n">
        <v>101</v>
      </c>
      <c r="H18" s="9" t="n">
        <v>37</v>
      </c>
      <c r="I18" s="9" t="n">
        <v>52</v>
      </c>
      <c r="J18" s="9" t="n">
        <v>100</v>
      </c>
      <c r="K18" s="15" t="s">
        <v>59</v>
      </c>
      <c r="L18" s="9" t="n">
        <v>14</v>
      </c>
      <c r="M18" s="15" t="s">
        <v>59</v>
      </c>
    </row>
    <row r="19" customFormat="false" ht="15" hidden="false" customHeight="false" outlineLevel="0" collapsed="false">
      <c r="A19" s="8" t="s">
        <v>73</v>
      </c>
      <c r="B19" s="9" t="n">
        <v>99</v>
      </c>
      <c r="C19" s="9" t="n">
        <v>59</v>
      </c>
      <c r="D19" s="9" t="n">
        <v>79</v>
      </c>
      <c r="E19" s="9" t="n">
        <v>23</v>
      </c>
      <c r="F19" s="9" t="n">
        <v>6</v>
      </c>
      <c r="G19" s="9" t="n">
        <v>100</v>
      </c>
      <c r="H19" s="9" t="n">
        <v>62</v>
      </c>
      <c r="I19" s="9" t="n">
        <v>90</v>
      </c>
      <c r="J19" s="9" t="n">
        <v>55</v>
      </c>
      <c r="K19" s="15" t="s">
        <v>59</v>
      </c>
      <c r="L19" s="9" t="n">
        <v>15</v>
      </c>
      <c r="M19" s="15" t="s">
        <v>59</v>
      </c>
    </row>
    <row r="20" customFormat="false" ht="15" hidden="false" customHeight="false" outlineLevel="0" collapsed="false">
      <c r="A20" s="8" t="s">
        <v>74</v>
      </c>
      <c r="B20" s="9" t="n">
        <v>100</v>
      </c>
      <c r="C20" s="9" t="n">
        <v>56</v>
      </c>
      <c r="D20" s="9" t="n">
        <v>58</v>
      </c>
      <c r="E20" s="9" t="n">
        <v>19</v>
      </c>
      <c r="F20" s="9" t="n">
        <v>6</v>
      </c>
      <c r="G20" s="9" t="n">
        <v>102</v>
      </c>
      <c r="H20" s="9" t="n">
        <v>44</v>
      </c>
      <c r="I20" s="9" t="n">
        <v>96</v>
      </c>
      <c r="J20" s="9" t="n">
        <v>100</v>
      </c>
      <c r="K20" s="15" t="s">
        <v>59</v>
      </c>
      <c r="L20" s="9" t="n">
        <v>16</v>
      </c>
      <c r="M20" s="15" t="s">
        <v>59</v>
      </c>
    </row>
    <row r="21" customFormat="false" ht="15" hidden="false" customHeight="false" outlineLevel="0" collapsed="false">
      <c r="A21" s="8" t="s">
        <v>75</v>
      </c>
      <c r="B21" s="9" t="n">
        <v>99</v>
      </c>
      <c r="C21" s="9" t="n">
        <v>64</v>
      </c>
      <c r="D21" s="9" t="n">
        <v>48</v>
      </c>
      <c r="E21" s="9" t="n">
        <v>21</v>
      </c>
      <c r="F21" s="9" t="n">
        <v>5</v>
      </c>
      <c r="G21" s="9" t="n">
        <v>96</v>
      </c>
      <c r="H21" s="9" t="n">
        <v>35</v>
      </c>
      <c r="I21" s="9" t="n">
        <v>92</v>
      </c>
      <c r="J21" s="9" t="n">
        <v>98</v>
      </c>
      <c r="K21" s="15" t="s">
        <v>59</v>
      </c>
      <c r="L21" s="9" t="n">
        <v>17</v>
      </c>
      <c r="M21" s="15" t="s">
        <v>59</v>
      </c>
    </row>
    <row r="22" customFormat="false" ht="15" hidden="false" customHeight="false" outlineLevel="0" collapsed="false">
      <c r="A22" s="8" t="s">
        <v>76</v>
      </c>
      <c r="B22" s="9" t="n">
        <v>98</v>
      </c>
      <c r="C22" s="9" t="n">
        <v>50</v>
      </c>
      <c r="D22" s="9" t="n">
        <v>37</v>
      </c>
      <c r="E22" s="9" t="n">
        <v>17</v>
      </c>
      <c r="F22" s="9" t="n">
        <v>10</v>
      </c>
      <c r="G22" s="9" t="n">
        <v>110</v>
      </c>
      <c r="H22" s="9" t="n">
        <v>24</v>
      </c>
      <c r="I22" s="9" t="n">
        <v>81</v>
      </c>
      <c r="J22" s="9" t="n">
        <v>100</v>
      </c>
      <c r="K22" s="15" t="s">
        <v>59</v>
      </c>
      <c r="L22" s="9" t="n">
        <v>18</v>
      </c>
      <c r="M22" s="15" t="s">
        <v>59</v>
      </c>
    </row>
    <row r="23" customFormat="false" ht="15" hidden="false" customHeight="false" outlineLevel="0" collapsed="false">
      <c r="A23" s="8" t="s">
        <v>77</v>
      </c>
      <c r="B23" s="9" t="n">
        <v>96</v>
      </c>
      <c r="C23" s="9" t="n">
        <v>63</v>
      </c>
      <c r="D23" s="9" t="n">
        <v>22</v>
      </c>
      <c r="E23" s="9" t="n">
        <v>16</v>
      </c>
      <c r="F23" s="9" t="n">
        <v>5</v>
      </c>
      <c r="G23" s="9" t="n">
        <v>75</v>
      </c>
      <c r="H23" s="9" t="n">
        <v>30</v>
      </c>
      <c r="I23" s="9" t="n">
        <v>72</v>
      </c>
      <c r="J23" s="9" t="n">
        <v>100</v>
      </c>
      <c r="K23" s="15" t="s">
        <v>59</v>
      </c>
      <c r="L23" s="9" t="n">
        <v>19</v>
      </c>
      <c r="M23" s="15" t="s">
        <v>59</v>
      </c>
    </row>
    <row r="24" customFormat="false" ht="15" hidden="false" customHeight="false" outlineLevel="0" collapsed="false">
      <c r="A24" s="8" t="s">
        <v>78</v>
      </c>
      <c r="B24" s="9" t="n">
        <v>93</v>
      </c>
      <c r="C24" s="9" t="n">
        <v>36</v>
      </c>
      <c r="D24" s="9" t="n">
        <v>84</v>
      </c>
      <c r="E24" s="9" t="n">
        <v>20</v>
      </c>
      <c r="F24" s="9" t="n">
        <v>16</v>
      </c>
      <c r="G24" s="9" t="n">
        <v>103</v>
      </c>
      <c r="H24" s="9" t="n">
        <v>43</v>
      </c>
      <c r="I24" s="9" t="n">
        <v>68</v>
      </c>
      <c r="J24" s="9" t="n">
        <v>81</v>
      </c>
      <c r="K24" s="15" t="s">
        <v>59</v>
      </c>
      <c r="L24" s="9" t="n">
        <v>20</v>
      </c>
      <c r="M24" s="15" t="s">
        <v>59</v>
      </c>
    </row>
    <row r="25" customFormat="false" ht="15" hidden="false" customHeight="false" outlineLevel="0" collapsed="false">
      <c r="A25" s="8" t="s">
        <v>79</v>
      </c>
      <c r="B25" s="9" t="n">
        <v>99</v>
      </c>
      <c r="C25" s="9" t="n">
        <v>33</v>
      </c>
      <c r="D25" s="9" t="n">
        <v>33</v>
      </c>
      <c r="E25" s="9" t="n">
        <v>20</v>
      </c>
      <c r="F25" s="9" t="n">
        <v>8</v>
      </c>
      <c r="G25" s="9" t="n">
        <v>103</v>
      </c>
      <c r="H25" s="9" t="n">
        <v>58</v>
      </c>
      <c r="I25" s="9" t="n">
        <v>90</v>
      </c>
      <c r="J25" s="9" t="n">
        <v>92</v>
      </c>
      <c r="K25" s="15" t="s">
        <v>59</v>
      </c>
      <c r="L25" s="9" t="n">
        <v>21</v>
      </c>
      <c r="M25" s="15" t="s">
        <v>59</v>
      </c>
    </row>
    <row r="26" customFormat="false" ht="15" hidden="false" customHeight="false" outlineLevel="0" collapsed="false">
      <c r="A26" s="8" t="s">
        <v>80</v>
      </c>
      <c r="B26" s="9" t="n">
        <v>93</v>
      </c>
      <c r="C26" s="9" t="n">
        <v>37</v>
      </c>
      <c r="D26" s="9" t="n">
        <v>59</v>
      </c>
      <c r="E26" s="9" t="n">
        <v>9</v>
      </c>
      <c r="F26" s="9" t="n">
        <v>9</v>
      </c>
      <c r="G26" s="9" t="n">
        <v>92</v>
      </c>
      <c r="H26" s="9" t="n">
        <v>30</v>
      </c>
      <c r="I26" s="9" t="n">
        <v>89</v>
      </c>
      <c r="J26" s="9" t="n">
        <v>100</v>
      </c>
      <c r="K26" s="15" t="s">
        <v>59</v>
      </c>
      <c r="L26" s="9" t="n">
        <v>22</v>
      </c>
      <c r="M26" s="15" t="s">
        <v>59</v>
      </c>
    </row>
    <row r="27" customFormat="false" ht="15" hidden="false" customHeight="false" outlineLevel="0" collapsed="false">
      <c r="A27" s="8" t="s">
        <v>81</v>
      </c>
      <c r="B27" s="9" t="n">
        <v>100</v>
      </c>
      <c r="C27" s="9" t="n">
        <v>43</v>
      </c>
      <c r="D27" s="9" t="n">
        <v>63</v>
      </c>
      <c r="E27" s="9" t="n">
        <v>20</v>
      </c>
      <c r="F27" s="9" t="n">
        <v>12</v>
      </c>
      <c r="G27" s="9" t="n">
        <v>88</v>
      </c>
      <c r="H27" s="9" t="n">
        <v>31</v>
      </c>
      <c r="I27" s="9" t="n">
        <v>54</v>
      </c>
      <c r="J27" s="9" t="n">
        <v>100</v>
      </c>
      <c r="K27" s="15" t="s">
        <v>59</v>
      </c>
      <c r="L27" s="9" t="n">
        <v>23</v>
      </c>
      <c r="M27" s="15" t="s">
        <v>59</v>
      </c>
    </row>
    <row r="28" customFormat="false" ht="15" hidden="false" customHeight="false" outlineLevel="0" collapsed="false">
      <c r="A28" s="8" t="s">
        <v>82</v>
      </c>
      <c r="B28" s="9" t="n">
        <v>100</v>
      </c>
      <c r="C28" s="9" t="n">
        <v>27</v>
      </c>
      <c r="D28" s="15" t="s">
        <v>59</v>
      </c>
      <c r="E28" s="9" t="n">
        <v>10</v>
      </c>
      <c r="F28" s="9" t="n">
        <v>9</v>
      </c>
      <c r="G28" s="9" t="n">
        <v>89</v>
      </c>
      <c r="H28" s="9" t="n">
        <v>48</v>
      </c>
      <c r="I28" s="9" t="n">
        <v>71</v>
      </c>
      <c r="J28" s="9" t="n">
        <v>100</v>
      </c>
      <c r="K28" s="15" t="s">
        <v>59</v>
      </c>
      <c r="L28" s="9" t="n">
        <v>24</v>
      </c>
      <c r="M28" s="15" t="s">
        <v>59</v>
      </c>
    </row>
    <row r="29" customFormat="false" ht="15" hidden="false" customHeight="false" outlineLevel="0" collapsed="false">
      <c r="A29" s="8" t="s">
        <v>83</v>
      </c>
      <c r="B29" s="9" t="n">
        <v>93</v>
      </c>
      <c r="C29" s="9" t="n">
        <v>45</v>
      </c>
      <c r="D29" s="15" t="s">
        <v>59</v>
      </c>
      <c r="E29" s="9" t="n">
        <v>21</v>
      </c>
      <c r="F29" s="9" t="n">
        <v>17</v>
      </c>
      <c r="G29" s="9" t="n">
        <v>100</v>
      </c>
      <c r="H29" s="9" t="n">
        <v>37</v>
      </c>
      <c r="I29" s="9" t="n">
        <v>75</v>
      </c>
      <c r="J29" s="9" t="n">
        <v>98</v>
      </c>
      <c r="K29" s="15" t="s">
        <v>59</v>
      </c>
      <c r="L29" s="9" t="n">
        <v>25</v>
      </c>
      <c r="M29" s="15" t="s">
        <v>59</v>
      </c>
    </row>
    <row r="30" customFormat="false" ht="15" hidden="false" customHeight="false" outlineLevel="0" collapsed="false">
      <c r="A30" s="8" t="s">
        <v>84</v>
      </c>
      <c r="B30" s="9" t="n">
        <v>66</v>
      </c>
      <c r="C30" s="9" t="n">
        <v>33</v>
      </c>
      <c r="D30" s="9" t="n">
        <v>70</v>
      </c>
      <c r="E30" s="9" t="n">
        <v>13</v>
      </c>
      <c r="F30" s="9" t="n">
        <v>8</v>
      </c>
      <c r="G30" s="9" t="n">
        <v>96</v>
      </c>
      <c r="H30" s="9" t="n">
        <v>32</v>
      </c>
      <c r="I30" s="9" t="n">
        <v>57</v>
      </c>
      <c r="J30" s="9" t="n">
        <v>100</v>
      </c>
      <c r="K30" s="15" t="s">
        <v>59</v>
      </c>
      <c r="L30" s="9" t="n">
        <v>26</v>
      </c>
      <c r="M30" s="15" t="s">
        <v>59</v>
      </c>
    </row>
    <row r="31" customFormat="false" ht="15" hidden="false" customHeight="false" outlineLevel="0" collapsed="false">
      <c r="A31" s="8" t="s">
        <v>85</v>
      </c>
      <c r="B31" s="9" t="n">
        <v>89</v>
      </c>
      <c r="C31" s="9" t="n">
        <v>50</v>
      </c>
      <c r="D31" s="9" t="n">
        <v>61</v>
      </c>
      <c r="E31" s="9" t="n">
        <v>15</v>
      </c>
      <c r="F31" s="9" t="n">
        <v>13</v>
      </c>
      <c r="G31" s="9" t="n">
        <v>93</v>
      </c>
      <c r="H31" s="9" t="n">
        <v>19</v>
      </c>
      <c r="I31" s="9" t="n">
        <v>83</v>
      </c>
      <c r="J31" s="9" t="n">
        <v>100</v>
      </c>
      <c r="K31" s="15" t="s">
        <v>59</v>
      </c>
      <c r="L31" s="9" t="n">
        <v>27</v>
      </c>
      <c r="M31" s="15" t="s">
        <v>59</v>
      </c>
    </row>
    <row r="32" customFormat="false" ht="15" hidden="false" customHeight="false" outlineLevel="0" collapsed="false">
      <c r="A32" s="8" t="s">
        <v>86</v>
      </c>
      <c r="B32" s="9" t="n">
        <v>50</v>
      </c>
      <c r="C32" s="9" t="n">
        <v>38</v>
      </c>
      <c r="D32" s="9" t="n">
        <v>81</v>
      </c>
      <c r="E32" s="9" t="n">
        <v>12</v>
      </c>
      <c r="F32" s="9" t="n">
        <v>9</v>
      </c>
      <c r="G32" s="9" t="n">
        <v>94</v>
      </c>
      <c r="H32" s="9" t="n">
        <v>34</v>
      </c>
      <c r="I32" s="9" t="n">
        <v>60</v>
      </c>
      <c r="J32" s="9" t="n">
        <v>100</v>
      </c>
      <c r="K32" s="15" t="s">
        <v>59</v>
      </c>
      <c r="L32" s="9" t="n">
        <v>28</v>
      </c>
      <c r="M32" s="15" t="s">
        <v>59</v>
      </c>
    </row>
    <row r="33" customFormat="false" ht="15" hidden="false" customHeight="false" outlineLevel="0" collapsed="false">
      <c r="A33" s="8" t="s">
        <v>87</v>
      </c>
      <c r="B33" s="9" t="n">
        <v>45</v>
      </c>
      <c r="C33" s="9" t="n">
        <v>55</v>
      </c>
      <c r="D33" s="9" t="n">
        <v>62</v>
      </c>
      <c r="E33" s="9" t="n">
        <v>19</v>
      </c>
      <c r="F33" s="9" t="n">
        <v>8</v>
      </c>
      <c r="G33" s="9" t="n">
        <v>112</v>
      </c>
      <c r="H33" s="9" t="n">
        <v>40</v>
      </c>
      <c r="I33" s="9" t="n">
        <v>72</v>
      </c>
      <c r="J33" s="9" t="n">
        <v>99</v>
      </c>
      <c r="K33" s="15" t="s">
        <v>59</v>
      </c>
      <c r="L33" s="9" t="n">
        <v>29</v>
      </c>
      <c r="M33" s="15" t="s">
        <v>59</v>
      </c>
    </row>
    <row r="34" customFormat="false" ht="15" hidden="false" customHeight="false" outlineLevel="0" collapsed="false">
      <c r="A34" s="8" t="s">
        <v>88</v>
      </c>
      <c r="B34" s="9" t="n">
        <v>64</v>
      </c>
      <c r="C34" s="9" t="n">
        <v>36</v>
      </c>
      <c r="D34" s="9" t="n">
        <v>53</v>
      </c>
      <c r="E34" s="9" t="n">
        <v>7</v>
      </c>
      <c r="F34" s="9" t="n">
        <v>6</v>
      </c>
      <c r="G34" s="9" t="n">
        <v>99</v>
      </c>
      <c r="H34" s="9" t="n">
        <v>36</v>
      </c>
      <c r="I34" s="9" t="n">
        <v>88</v>
      </c>
      <c r="J34" s="9" t="n">
        <v>100</v>
      </c>
      <c r="K34" s="15" t="s">
        <v>59</v>
      </c>
      <c r="L34" s="9" t="n">
        <v>30</v>
      </c>
      <c r="M34" s="15" t="s">
        <v>59</v>
      </c>
    </row>
    <row r="35" customFormat="false" ht="15" hidden="false" customHeight="false" outlineLevel="0" collapsed="false">
      <c r="A35" s="8" t="s">
        <v>89</v>
      </c>
      <c r="B35" s="9" t="n">
        <v>92</v>
      </c>
      <c r="C35" s="9" t="n">
        <v>58</v>
      </c>
      <c r="D35" s="9" t="n">
        <v>50</v>
      </c>
      <c r="E35" s="9" t="n">
        <v>14</v>
      </c>
      <c r="F35" s="9" t="n">
        <v>14</v>
      </c>
      <c r="G35" s="9" t="n">
        <v>96</v>
      </c>
      <c r="H35" s="9" t="n">
        <v>57</v>
      </c>
      <c r="I35" s="9" t="n">
        <v>93</v>
      </c>
      <c r="J35" s="9" t="n">
        <v>100</v>
      </c>
      <c r="K35" s="15" t="s">
        <v>59</v>
      </c>
      <c r="L35" s="9" t="n">
        <v>31</v>
      </c>
      <c r="M35" s="15" t="s">
        <v>59</v>
      </c>
    </row>
    <row r="36" customFormat="false" ht="15" hidden="false" customHeight="false" outlineLevel="0" collapsed="false">
      <c r="A36" s="8" t="s">
        <v>90</v>
      </c>
      <c r="B36" s="9" t="n">
        <v>0</v>
      </c>
      <c r="C36" s="9" t="n">
        <v>31</v>
      </c>
      <c r="D36" s="9" t="n">
        <v>14</v>
      </c>
      <c r="E36" s="9" t="n">
        <v>18</v>
      </c>
      <c r="F36" s="9" t="n">
        <v>6</v>
      </c>
      <c r="G36" s="9" t="n">
        <v>79</v>
      </c>
      <c r="H36" s="9" t="n">
        <v>72</v>
      </c>
      <c r="I36" s="9" t="n">
        <v>83</v>
      </c>
      <c r="J36" s="9" t="n">
        <v>72</v>
      </c>
      <c r="K36" s="15" t="s">
        <v>59</v>
      </c>
      <c r="L36" s="9" t="n">
        <v>32</v>
      </c>
      <c r="M36" s="15" t="s">
        <v>59</v>
      </c>
    </row>
    <row r="37" customFormat="false" ht="15" hidden="false" customHeight="false" outlineLevel="0" collapsed="false">
      <c r="A37" s="8" t="s">
        <v>91</v>
      </c>
      <c r="B37" s="9" t="n">
        <v>78</v>
      </c>
      <c r="C37" s="9" t="n">
        <v>48</v>
      </c>
      <c r="D37" s="9" t="n">
        <v>65</v>
      </c>
      <c r="E37" s="9" t="n">
        <v>22</v>
      </c>
      <c r="F37" s="9" t="n">
        <v>12</v>
      </c>
      <c r="G37" s="9" t="n">
        <v>65</v>
      </c>
      <c r="H37" s="9" t="n">
        <v>37</v>
      </c>
      <c r="I37" s="9" t="n">
        <v>105</v>
      </c>
      <c r="J37" s="9" t="n">
        <v>40</v>
      </c>
      <c r="K37" s="15" t="s">
        <v>59</v>
      </c>
      <c r="L37" s="9" t="n">
        <v>33</v>
      </c>
      <c r="M37" s="15" t="s">
        <v>59</v>
      </c>
    </row>
    <row r="38" customFormat="false" ht="15" hidden="false" customHeight="false" outlineLevel="0" collapsed="false">
      <c r="A38" s="8" t="s">
        <v>92</v>
      </c>
      <c r="B38" s="9" t="n">
        <v>93</v>
      </c>
      <c r="C38" s="9" t="n">
        <v>44</v>
      </c>
      <c r="D38" s="9" t="n">
        <v>11</v>
      </c>
      <c r="E38" s="9" t="n">
        <v>15</v>
      </c>
      <c r="F38" s="9" t="n">
        <v>12</v>
      </c>
      <c r="G38" s="9" t="n">
        <v>56</v>
      </c>
      <c r="H38" s="9" t="n">
        <v>55</v>
      </c>
      <c r="I38" s="9" t="n">
        <v>124</v>
      </c>
      <c r="J38" s="9" t="n">
        <v>78</v>
      </c>
      <c r="K38" s="15" t="s">
        <v>59</v>
      </c>
      <c r="L38" s="9" t="n">
        <v>34</v>
      </c>
      <c r="M38" s="15" t="s">
        <v>59</v>
      </c>
    </row>
    <row r="39" customFormat="false" ht="15" hidden="false" customHeight="false" outlineLevel="0" collapsed="false">
      <c r="A39" s="8" t="s">
        <v>93</v>
      </c>
      <c r="B39" s="9" t="n">
        <v>33</v>
      </c>
      <c r="C39" s="9" t="n">
        <v>56</v>
      </c>
      <c r="D39" s="9" t="n">
        <v>65</v>
      </c>
      <c r="E39" s="9" t="n">
        <v>8</v>
      </c>
      <c r="F39" s="9" t="n">
        <v>9</v>
      </c>
      <c r="G39" s="9" t="n">
        <v>79</v>
      </c>
      <c r="H39" s="9" t="n">
        <v>44</v>
      </c>
      <c r="I39" s="9" t="n">
        <v>69</v>
      </c>
      <c r="J39" s="9" t="n">
        <v>89</v>
      </c>
      <c r="K39" s="15" t="s">
        <v>59</v>
      </c>
      <c r="L39" s="9" t="n">
        <v>35</v>
      </c>
      <c r="M39" s="15" t="s">
        <v>59</v>
      </c>
    </row>
    <row r="40" customFormat="false" ht="15" hidden="false" customHeight="false" outlineLevel="0" collapsed="false">
      <c r="A40" s="8" t="s">
        <v>94</v>
      </c>
      <c r="B40" s="9" t="n">
        <v>51</v>
      </c>
      <c r="C40" s="9" t="n">
        <v>61</v>
      </c>
      <c r="D40" s="9" t="n">
        <v>12</v>
      </c>
      <c r="E40" s="9" t="n">
        <v>14</v>
      </c>
      <c r="F40" s="9" t="n">
        <v>20</v>
      </c>
      <c r="G40" s="9" t="n">
        <v>77</v>
      </c>
      <c r="H40" s="9" t="n">
        <v>46</v>
      </c>
      <c r="I40" s="9" t="n">
        <v>69</v>
      </c>
      <c r="J40" s="9" t="n">
        <v>46</v>
      </c>
      <c r="K40" s="15" t="s">
        <v>59</v>
      </c>
      <c r="L40" s="9" t="n">
        <v>36</v>
      </c>
      <c r="M40" s="15" t="s">
        <v>59</v>
      </c>
    </row>
    <row r="41" customFormat="false" ht="15" hidden="false" customHeight="false" outlineLevel="0" collapsed="false">
      <c r="A41" s="8" t="s">
        <v>95</v>
      </c>
      <c r="B41" s="9" t="n">
        <v>100</v>
      </c>
      <c r="C41" s="9" t="n">
        <v>43</v>
      </c>
      <c r="D41" s="9" t="n">
        <v>75</v>
      </c>
      <c r="E41" s="9" t="n">
        <v>22</v>
      </c>
      <c r="F41" s="9" t="n">
        <v>6</v>
      </c>
      <c r="G41" s="9" t="n">
        <v>95</v>
      </c>
      <c r="H41" s="9" t="n">
        <v>45</v>
      </c>
      <c r="I41" s="9" t="n">
        <v>40</v>
      </c>
      <c r="J41" s="9" t="n">
        <v>98</v>
      </c>
      <c r="K41" s="15" t="s">
        <v>59</v>
      </c>
      <c r="L41" s="9" t="n">
        <v>37</v>
      </c>
      <c r="M41" s="15" t="s">
        <v>59</v>
      </c>
    </row>
    <row r="43" customFormat="false" ht="15" hidden="false" customHeight="false" outlineLevel="0" collapsed="false">
      <c r="A43" s="12" t="s">
        <v>55</v>
      </c>
      <c r="B43" s="13" t="n">
        <f aca="false">IFERROR(ROUND(AVERAGE(B5:B41),1),"—")</f>
        <v>86.6</v>
      </c>
      <c r="C43" s="13" t="n">
        <f aca="false">IFERROR(ROUND(AVERAGE(C5:C41),1),"—")</f>
        <v>41.5</v>
      </c>
      <c r="D43" s="13" t="n">
        <f aca="false">IFERROR(ROUND(AVERAGE(D5:D41),1),"—")</f>
        <v>64.4</v>
      </c>
      <c r="E43" s="13" t="n">
        <f aca="false">IFERROR(ROUND(AVERAGE(E5:E41),1),"—")</f>
        <v>18.4</v>
      </c>
      <c r="F43" s="13" t="n">
        <f aca="false">IFERROR(ROUND(AVERAGE(F5:F41),1),"—")</f>
        <v>8.2</v>
      </c>
      <c r="G43" s="13" t="n">
        <f aca="false">IFERROR(ROUND(AVERAGE(G5:G41),1),"—")</f>
        <v>94.2</v>
      </c>
      <c r="H43" s="13" t="n">
        <f aca="false">IFERROR(ROUND(AVERAGE(H5:H41),1),"—")</f>
        <v>43.1</v>
      </c>
      <c r="I43" s="13" t="n">
        <f aca="false">IFERROR(ROUND(AVERAGE(I5:I41),1),"—")</f>
        <v>88.1</v>
      </c>
      <c r="J43" s="13" t="n">
        <f aca="false">IFERROR(ROUND(AVERAGE(J5:J41),1),"—")</f>
        <v>93.1</v>
      </c>
    </row>
    <row r="45" customFormat="false" ht="15" hidden="false" customHeight="false" outlineLevel="0" collapsed="false">
      <c r="A45" s="14"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13" min="2" style="0" width="11"/>
  </cols>
  <sheetData>
    <row r="1" customFormat="false" ht="16.15" hidden="false" customHeight="false" outlineLevel="0" collapsed="false">
      <c r="A1" s="5" t="s">
        <v>96</v>
      </c>
    </row>
    <row r="2" customFormat="false" ht="15" hidden="false" customHeight="false" outlineLevel="0" collapsed="false">
      <c r="A2" s="6" t="s">
        <v>23</v>
      </c>
    </row>
    <row r="4" customFormat="false" ht="39.75" hidden="false" customHeight="true" outlineLevel="0" collapsed="false">
      <c r="A4" s="7" t="s">
        <v>24</v>
      </c>
      <c r="B4" s="7" t="s">
        <v>25</v>
      </c>
      <c r="C4" s="7" t="s">
        <v>26</v>
      </c>
      <c r="D4" s="7" t="s">
        <v>27</v>
      </c>
      <c r="E4" s="7" t="s">
        <v>28</v>
      </c>
      <c r="F4" s="7" t="s">
        <v>29</v>
      </c>
      <c r="G4" s="7" t="s">
        <v>30</v>
      </c>
      <c r="H4" s="7" t="s">
        <v>31</v>
      </c>
      <c r="I4" s="7" t="s">
        <v>32</v>
      </c>
      <c r="J4" s="7" t="s">
        <v>33</v>
      </c>
      <c r="K4" s="7" t="s">
        <v>34</v>
      </c>
      <c r="L4" s="7" t="s">
        <v>35</v>
      </c>
      <c r="M4" s="7" t="s">
        <v>36</v>
      </c>
    </row>
    <row r="5" customFormat="false" ht="15" hidden="false" customHeight="false" outlineLevel="0" collapsed="false">
      <c r="A5" s="8" t="s">
        <v>97</v>
      </c>
      <c r="B5" s="9" t="n">
        <v>100</v>
      </c>
      <c r="C5" s="9" t="n">
        <v>38</v>
      </c>
      <c r="D5" s="9" t="n">
        <v>37</v>
      </c>
      <c r="E5" s="9" t="n">
        <v>20</v>
      </c>
      <c r="F5" s="9" t="n">
        <v>8</v>
      </c>
      <c r="G5" s="9" t="n">
        <v>95</v>
      </c>
      <c r="H5" s="9" t="n">
        <v>35</v>
      </c>
      <c r="I5" s="9" t="n">
        <v>85</v>
      </c>
      <c r="J5" s="9" t="n">
        <v>100</v>
      </c>
      <c r="K5" s="9" t="n">
        <v>110</v>
      </c>
      <c r="L5" s="9" t="n">
        <v>1</v>
      </c>
      <c r="M5" s="9" t="n">
        <v>29</v>
      </c>
    </row>
    <row r="6" customFormat="false" ht="15" hidden="false" customHeight="false" outlineLevel="0" collapsed="false">
      <c r="A6" s="8" t="s">
        <v>98</v>
      </c>
      <c r="B6" s="9" t="n">
        <v>72</v>
      </c>
      <c r="C6" s="9" t="n">
        <v>65</v>
      </c>
      <c r="D6" s="9" t="n">
        <v>32</v>
      </c>
      <c r="E6" s="9" t="n">
        <v>10</v>
      </c>
      <c r="F6" s="9" t="n">
        <v>16</v>
      </c>
      <c r="G6" s="9" t="n">
        <v>63</v>
      </c>
      <c r="H6" s="9" t="n">
        <v>42</v>
      </c>
      <c r="I6" s="9" t="n">
        <v>76</v>
      </c>
      <c r="J6" s="9" t="n">
        <v>46</v>
      </c>
      <c r="K6" s="9" t="n">
        <v>105</v>
      </c>
      <c r="L6" s="9" t="n">
        <v>2</v>
      </c>
      <c r="M6" s="9" t="n">
        <v>35</v>
      </c>
    </row>
    <row r="7" customFormat="false" ht="15" hidden="false" customHeight="false" outlineLevel="0" collapsed="false">
      <c r="A7" s="8" t="s">
        <v>99</v>
      </c>
      <c r="B7" s="9" t="n">
        <v>93</v>
      </c>
      <c r="C7" s="9" t="n">
        <v>54</v>
      </c>
      <c r="D7" s="9" t="n">
        <v>77</v>
      </c>
      <c r="E7" s="9" t="n">
        <v>16</v>
      </c>
      <c r="F7" s="9" t="n">
        <v>9</v>
      </c>
      <c r="G7" s="9" t="n">
        <v>97</v>
      </c>
      <c r="H7" s="9" t="n">
        <v>51</v>
      </c>
      <c r="I7" s="9" t="n">
        <v>79</v>
      </c>
      <c r="J7" s="9" t="n">
        <v>100</v>
      </c>
      <c r="K7" s="9" t="n">
        <v>86</v>
      </c>
      <c r="L7" s="9" t="n">
        <v>3</v>
      </c>
      <c r="M7" s="9" t="n">
        <v>49</v>
      </c>
    </row>
    <row r="8" customFormat="false" ht="15" hidden="false" customHeight="false" outlineLevel="0" collapsed="false">
      <c r="A8" s="8" t="s">
        <v>100</v>
      </c>
      <c r="B8" s="9" t="n">
        <v>93</v>
      </c>
      <c r="C8" s="9" t="n">
        <v>54</v>
      </c>
      <c r="D8" s="9" t="n">
        <v>74</v>
      </c>
      <c r="E8" s="9" t="n">
        <v>12</v>
      </c>
      <c r="F8" s="9" t="n">
        <v>24</v>
      </c>
      <c r="G8" s="9" t="n">
        <v>96</v>
      </c>
      <c r="H8" s="9" t="n">
        <v>50</v>
      </c>
      <c r="I8" s="9" t="n">
        <v>40</v>
      </c>
      <c r="J8" s="9" t="n">
        <v>100</v>
      </c>
      <c r="K8" s="9" t="n">
        <v>82</v>
      </c>
      <c r="L8" s="9" t="n">
        <v>4</v>
      </c>
      <c r="M8" s="9" t="n">
        <v>51</v>
      </c>
    </row>
    <row r="9" customFormat="false" ht="15" hidden="false" customHeight="false" outlineLevel="0" collapsed="false">
      <c r="A9" s="8" t="s">
        <v>101</v>
      </c>
      <c r="B9" s="9" t="n">
        <v>21</v>
      </c>
      <c r="C9" s="9" t="n">
        <v>47</v>
      </c>
      <c r="D9" s="9" t="n">
        <v>59</v>
      </c>
      <c r="E9" s="9" t="n">
        <v>24</v>
      </c>
      <c r="F9" s="9" t="n">
        <v>5</v>
      </c>
      <c r="G9" s="9" t="n">
        <v>96</v>
      </c>
      <c r="H9" s="9" t="n">
        <v>65</v>
      </c>
      <c r="I9" s="9" t="n">
        <v>82</v>
      </c>
      <c r="J9" s="9" t="n">
        <v>100</v>
      </c>
      <c r="K9" s="9" t="n">
        <v>69</v>
      </c>
      <c r="L9" s="9" t="n">
        <v>5</v>
      </c>
      <c r="M9" s="9" t="n">
        <v>58</v>
      </c>
    </row>
    <row r="10" customFormat="false" ht="15" hidden="false" customHeight="false" outlineLevel="0" collapsed="false">
      <c r="A10" s="8" t="s">
        <v>102</v>
      </c>
      <c r="B10" s="9" t="n">
        <v>77</v>
      </c>
      <c r="C10" s="9" t="n">
        <v>59</v>
      </c>
      <c r="D10" s="9" t="n">
        <v>30</v>
      </c>
      <c r="E10" s="9" t="n">
        <v>12</v>
      </c>
      <c r="F10" s="9" t="n">
        <v>7</v>
      </c>
      <c r="G10" s="9" t="n">
        <v>92</v>
      </c>
      <c r="H10" s="9" t="n">
        <v>24</v>
      </c>
      <c r="I10" s="9" t="n">
        <v>32</v>
      </c>
      <c r="J10" s="9" t="n">
        <v>92</v>
      </c>
      <c r="K10" s="9" t="n">
        <v>61</v>
      </c>
      <c r="L10" s="9" t="n">
        <v>6</v>
      </c>
      <c r="M10" s="9" t="n">
        <v>66</v>
      </c>
    </row>
    <row r="11" customFormat="false" ht="15" hidden="false" customHeight="false" outlineLevel="0" collapsed="false">
      <c r="A11" s="8" t="s">
        <v>103</v>
      </c>
      <c r="B11" s="9" t="n">
        <v>79</v>
      </c>
      <c r="C11" s="9" t="n">
        <v>42</v>
      </c>
      <c r="D11" s="9" t="n">
        <v>59</v>
      </c>
      <c r="E11" s="9" t="n">
        <v>20</v>
      </c>
      <c r="F11" s="9" t="n">
        <v>13</v>
      </c>
      <c r="G11" s="9" t="n">
        <v>96</v>
      </c>
      <c r="H11" s="9" t="n">
        <v>42</v>
      </c>
      <c r="I11" s="9" t="n">
        <v>88</v>
      </c>
      <c r="J11" s="9" t="n">
        <v>100</v>
      </c>
      <c r="K11" s="9" t="n">
        <v>55</v>
      </c>
      <c r="L11" s="9" t="n">
        <v>7</v>
      </c>
      <c r="M11" s="9" t="n">
        <v>68</v>
      </c>
    </row>
    <row r="12" customFormat="false" ht="15" hidden="false" customHeight="false" outlineLevel="0" collapsed="false">
      <c r="A12" s="8" t="s">
        <v>104</v>
      </c>
      <c r="B12" s="9" t="n">
        <v>70</v>
      </c>
      <c r="C12" s="9" t="n">
        <v>33</v>
      </c>
      <c r="D12" s="9" t="n">
        <v>78</v>
      </c>
      <c r="E12" s="9" t="n">
        <v>10</v>
      </c>
      <c r="F12" s="9" t="n">
        <v>11</v>
      </c>
      <c r="G12" s="9" t="n">
        <v>81</v>
      </c>
      <c r="H12" s="9" t="n">
        <v>34</v>
      </c>
      <c r="I12" s="9" t="n">
        <v>89</v>
      </c>
      <c r="J12" s="9" t="n">
        <v>100</v>
      </c>
      <c r="K12" s="9" t="n">
        <v>47</v>
      </c>
      <c r="L12" s="9" t="n">
        <v>8</v>
      </c>
      <c r="M12" s="9" t="n">
        <v>73</v>
      </c>
    </row>
    <row r="13" customFormat="false" ht="15" hidden="false" customHeight="false" outlineLevel="0" collapsed="false">
      <c r="A13" s="8" t="s">
        <v>105</v>
      </c>
      <c r="B13" s="9" t="n">
        <v>50</v>
      </c>
      <c r="C13" s="9" t="n">
        <v>66</v>
      </c>
      <c r="D13" s="9" t="n">
        <v>22</v>
      </c>
      <c r="E13" s="9" t="n">
        <v>19</v>
      </c>
      <c r="F13" s="9" t="n">
        <v>16</v>
      </c>
      <c r="G13" s="9" t="n">
        <v>96</v>
      </c>
      <c r="H13" s="9" t="n">
        <v>45</v>
      </c>
      <c r="I13" s="9" t="n">
        <v>107</v>
      </c>
      <c r="J13" s="9" t="n">
        <v>45</v>
      </c>
      <c r="K13" s="9" t="n">
        <v>45</v>
      </c>
      <c r="L13" s="9" t="n">
        <v>9</v>
      </c>
      <c r="M13" s="9" t="n">
        <v>75</v>
      </c>
    </row>
    <row r="14" customFormat="false" ht="15" hidden="false" customHeight="false" outlineLevel="0" collapsed="false">
      <c r="A14" s="8" t="s">
        <v>106</v>
      </c>
      <c r="B14" s="9" t="n">
        <v>93</v>
      </c>
      <c r="C14" s="9" t="n">
        <v>44</v>
      </c>
      <c r="D14" s="9" t="n">
        <v>26</v>
      </c>
      <c r="E14" s="9" t="n">
        <v>8</v>
      </c>
      <c r="F14" s="9" t="n">
        <v>15</v>
      </c>
      <c r="G14" s="9" t="n">
        <v>75</v>
      </c>
      <c r="H14" s="9" t="n">
        <v>17</v>
      </c>
      <c r="I14" s="9" t="n">
        <v>33</v>
      </c>
      <c r="J14" s="9" t="n">
        <v>92</v>
      </c>
      <c r="K14" s="9" t="n">
        <v>27</v>
      </c>
      <c r="L14" s="9" t="n">
        <v>10</v>
      </c>
      <c r="M14" s="9" t="n">
        <v>82</v>
      </c>
    </row>
    <row r="15" customFormat="false" ht="15" hidden="false" customHeight="false" outlineLevel="0" collapsed="false">
      <c r="A15" s="8" t="s">
        <v>107</v>
      </c>
      <c r="B15" s="9" t="n">
        <v>84</v>
      </c>
      <c r="C15" s="9" t="n">
        <v>68</v>
      </c>
      <c r="D15" s="9" t="n">
        <v>13</v>
      </c>
      <c r="E15" s="9" t="n">
        <v>14</v>
      </c>
      <c r="F15" s="9" t="n">
        <v>9</v>
      </c>
      <c r="G15" s="9" t="n">
        <v>79</v>
      </c>
      <c r="H15" s="9" t="n">
        <v>58</v>
      </c>
      <c r="I15" s="9" t="n">
        <v>75</v>
      </c>
      <c r="J15" s="9" t="n">
        <v>84</v>
      </c>
      <c r="K15" s="9" t="n">
        <v>14</v>
      </c>
      <c r="L15" s="9" t="n">
        <v>11</v>
      </c>
      <c r="M15" s="9" t="n">
        <v>86</v>
      </c>
    </row>
    <row r="16" customFormat="false" ht="15" hidden="false" customHeight="false" outlineLevel="0" collapsed="false">
      <c r="A16" s="8" t="s">
        <v>108</v>
      </c>
      <c r="B16" s="9" t="n">
        <v>0</v>
      </c>
      <c r="C16" s="9" t="n">
        <v>64</v>
      </c>
      <c r="D16" s="9" t="n">
        <v>5</v>
      </c>
      <c r="E16" s="9" t="n">
        <v>6</v>
      </c>
      <c r="F16" s="9" t="n">
        <v>40</v>
      </c>
      <c r="G16" s="9" t="n">
        <v>71</v>
      </c>
      <c r="H16" s="9" t="n">
        <v>76</v>
      </c>
      <c r="I16" s="9" t="n">
        <v>124</v>
      </c>
      <c r="J16" s="9" t="n">
        <v>0</v>
      </c>
      <c r="K16" s="9" t="n">
        <v>9</v>
      </c>
      <c r="L16" s="9" t="n">
        <v>12</v>
      </c>
      <c r="M16" s="9" t="n">
        <v>88</v>
      </c>
    </row>
    <row r="17" customFormat="false" ht="15" hidden="false" customHeight="false" outlineLevel="0" collapsed="false">
      <c r="A17" s="8" t="s">
        <v>109</v>
      </c>
      <c r="B17" s="9" t="n">
        <v>83</v>
      </c>
      <c r="C17" s="9" t="n">
        <v>40</v>
      </c>
      <c r="D17" s="9" t="n">
        <v>23</v>
      </c>
      <c r="E17" s="9" t="n">
        <v>9</v>
      </c>
      <c r="F17" s="9" t="n">
        <v>16</v>
      </c>
      <c r="G17" s="9" t="n">
        <v>40</v>
      </c>
      <c r="H17" s="9" t="n">
        <v>50</v>
      </c>
      <c r="I17" s="9" t="n">
        <v>37</v>
      </c>
      <c r="J17" s="9" t="n">
        <v>85</v>
      </c>
      <c r="K17" s="9" t="n">
        <v>8</v>
      </c>
      <c r="L17" s="9" t="n">
        <v>13</v>
      </c>
      <c r="M17" s="9" t="n">
        <v>89</v>
      </c>
    </row>
    <row r="19" customFormat="false" ht="15" hidden="false" customHeight="false" outlineLevel="0" collapsed="false">
      <c r="A19" s="12" t="s">
        <v>55</v>
      </c>
      <c r="B19" s="13" t="n">
        <f aca="false">IFERROR(ROUND(AVERAGE(B5:B17),1),"—")</f>
        <v>70.4</v>
      </c>
      <c r="C19" s="13" t="n">
        <f aca="false">IFERROR(ROUND(AVERAGE(C5:C17),1),"—")</f>
        <v>51.8</v>
      </c>
      <c r="D19" s="13" t="n">
        <f aca="false">IFERROR(ROUND(AVERAGE(D5:D17),1),"—")</f>
        <v>41.2</v>
      </c>
      <c r="E19" s="13" t="n">
        <f aca="false">IFERROR(ROUND(AVERAGE(E5:E17),1),"—")</f>
        <v>13.8</v>
      </c>
      <c r="F19" s="13" t="n">
        <f aca="false">IFERROR(ROUND(AVERAGE(F5:F17),1),"—")</f>
        <v>14.5</v>
      </c>
      <c r="G19" s="13" t="n">
        <f aca="false">IFERROR(ROUND(AVERAGE(G5:G17),1),"—")</f>
        <v>82.8</v>
      </c>
      <c r="H19" s="13" t="n">
        <f aca="false">IFERROR(ROUND(AVERAGE(H5:H17),1),"—")</f>
        <v>45.3</v>
      </c>
      <c r="I19" s="13" t="n">
        <f aca="false">IFERROR(ROUND(AVERAGE(I5:I17),1),"—")</f>
        <v>72.8</v>
      </c>
      <c r="J19" s="13" t="n">
        <f aca="false">IFERROR(ROUND(AVERAGE(J5:J17),1),"—")</f>
        <v>80.3</v>
      </c>
    </row>
    <row r="21" customFormat="false" ht="15" hidden="false" customHeight="false" outlineLevel="0" collapsed="false">
      <c r="A21" s="14"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16"/>
    <col collapsed="false" customWidth="true" hidden="false" outlineLevel="0" max="4" min="4" style="0" width="18"/>
    <col collapsed="false" customWidth="true" hidden="false" outlineLevel="0" max="5" min="5" style="0" width="46"/>
  </cols>
  <sheetData>
    <row r="1" customFormat="false" ht="17.35" hidden="false" customHeight="false" outlineLevel="0" collapsed="false">
      <c r="A1" s="16" t="s">
        <v>110</v>
      </c>
    </row>
    <row r="2" customFormat="false" ht="15" hidden="false" customHeight="false" outlineLevel="0" collapsed="false">
      <c r="A2" s="17" t="s">
        <v>111</v>
      </c>
    </row>
    <row r="4" customFormat="false" ht="39.75" hidden="false" customHeight="true" outlineLevel="0" collapsed="false">
      <c r="A4" s="7" t="s">
        <v>112</v>
      </c>
      <c r="B4" s="7" t="s">
        <v>50</v>
      </c>
      <c r="C4" s="7" t="s">
        <v>113</v>
      </c>
      <c r="D4" s="7" t="s">
        <v>114</v>
      </c>
      <c r="E4" s="7" t="s">
        <v>115</v>
      </c>
    </row>
    <row r="5" customFormat="false" ht="15" hidden="false" customHeight="false" outlineLevel="0" collapsed="false">
      <c r="A5" s="18" t="s">
        <v>26</v>
      </c>
      <c r="B5" s="19" t="n">
        <v>48</v>
      </c>
      <c r="C5" s="19" t="n">
        <f aca="false">IFERROR(ROUND(AVERAGE('Very Large (18)'!C5:C22),1),"—")</f>
        <v>39.4</v>
      </c>
      <c r="D5" s="19" t="n">
        <v>25</v>
      </c>
      <c r="E5" s="18" t="s">
        <v>116</v>
      </c>
    </row>
    <row r="6" customFormat="false" ht="15" hidden="false" customHeight="false" outlineLevel="0" collapsed="false">
      <c r="A6" s="18" t="s">
        <v>27</v>
      </c>
      <c r="B6" s="19" t="n">
        <v>79</v>
      </c>
      <c r="C6" s="19" t="n">
        <f aca="false">IFERROR(ROUND(AVERAGE('Very Large (18)'!D5:D22),1),"—")</f>
        <v>76</v>
      </c>
      <c r="D6" s="19" t="s">
        <v>59</v>
      </c>
      <c r="E6" s="18" t="s">
        <v>117</v>
      </c>
    </row>
    <row r="7" customFormat="false" ht="15" hidden="false" customHeight="false" outlineLevel="0" collapsed="false">
      <c r="A7" s="18" t="s">
        <v>28</v>
      </c>
      <c r="B7" s="19" t="n">
        <v>7</v>
      </c>
      <c r="C7" s="19" t="n">
        <f aca="false">IFERROR(ROUND(AVERAGE('Very Large (18)'!E5:E22),1),"—")</f>
        <v>20.1</v>
      </c>
      <c r="D7" s="19" t="s">
        <v>118</v>
      </c>
      <c r="E7" s="18" t="s">
        <v>119</v>
      </c>
    </row>
    <row r="8" customFormat="false" ht="15" hidden="false" customHeight="false" outlineLevel="0" collapsed="false">
      <c r="A8" s="18" t="s">
        <v>25</v>
      </c>
      <c r="B8" s="19" t="n">
        <v>95</v>
      </c>
      <c r="C8" s="19" t="n">
        <f aca="false">IFERROR(ROUND(AVERAGE('Very Large (18)'!B5:B22),1),"—")</f>
        <v>96.1</v>
      </c>
      <c r="D8" s="19" t="s">
        <v>120</v>
      </c>
      <c r="E8" s="18" t="s">
        <v>121</v>
      </c>
    </row>
    <row r="9" customFormat="false" ht="15" hidden="false" customHeight="false" outlineLevel="0" collapsed="false">
      <c r="A9" s="18" t="s">
        <v>33</v>
      </c>
      <c r="B9" s="19" t="n">
        <v>100</v>
      </c>
      <c r="C9" s="19" t="n">
        <f aca="false">IFERROR(ROUND(AVERAGE('Very Large (18)'!J5:J22),1),"—")</f>
        <v>99.9</v>
      </c>
      <c r="D9" s="19" t="n">
        <v>100</v>
      </c>
      <c r="E9" s="18" t="s">
        <v>122</v>
      </c>
    </row>
    <row r="10" customFormat="false" ht="15" hidden="false" customHeight="false" outlineLevel="0" collapsed="false">
      <c r="A10" s="18" t="s">
        <v>123</v>
      </c>
      <c r="B10" s="19" t="n">
        <v>7</v>
      </c>
      <c r="C10" s="19" t="n">
        <f aca="false">IFERROR(ROUND(AVERAGE('Very Large (18)'!F5:F22),1),"—")</f>
        <v>5.4</v>
      </c>
      <c r="D10" s="19" t="s">
        <v>124</v>
      </c>
      <c r="E10" s="18" t="s">
        <v>125</v>
      </c>
    </row>
    <row r="11" customFormat="false" ht="15" hidden="false" customHeight="false" outlineLevel="0" collapsed="false">
      <c r="A11" s="18" t="s">
        <v>32</v>
      </c>
      <c r="B11" s="19" t="n">
        <v>105</v>
      </c>
      <c r="C11" s="19" t="n">
        <f aca="false">IFERROR(ROUND(AVERAGE('Very Large (18)'!I5:I22),1),"—")</f>
        <v>101.7</v>
      </c>
      <c r="D11" s="19" t="s">
        <v>126</v>
      </c>
      <c r="E11" s="18" t="s">
        <v>127</v>
      </c>
    </row>
    <row r="12" customFormat="false" ht="15" hidden="false" customHeight="false" outlineLevel="0" collapsed="false">
      <c r="A12" s="18" t="s">
        <v>30</v>
      </c>
      <c r="B12" s="19" t="n">
        <v>94</v>
      </c>
      <c r="C12" s="19" t="n">
        <f aca="false">IFERROR(ROUND(AVERAGE('Very Large (18)'!G5:G22),1),"—")</f>
        <v>95</v>
      </c>
      <c r="D12" s="19" t="s">
        <v>120</v>
      </c>
      <c r="E12" s="18" t="s">
        <v>128</v>
      </c>
    </row>
    <row r="13" customFormat="false" ht="15" hidden="false" customHeight="false" outlineLevel="0" collapsed="false">
      <c r="A13" s="18" t="s">
        <v>31</v>
      </c>
      <c r="B13" s="19" t="n">
        <v>61</v>
      </c>
      <c r="C13" s="19" t="n">
        <f aca="false">IFERROR(ROUND(AVERAGE('Very Large (18)'!H5:H22),1),"—")</f>
        <v>44.3</v>
      </c>
      <c r="D13" s="19" t="s">
        <v>129</v>
      </c>
      <c r="E13" s="18" t="s">
        <v>130</v>
      </c>
    </row>
    <row r="14" customFormat="false" ht="15" hidden="false" customHeight="false" outlineLevel="0" collapsed="false">
      <c r="A14" s="18" t="s">
        <v>34</v>
      </c>
      <c r="B14" s="19" t="n">
        <v>101</v>
      </c>
      <c r="C14" s="19" t="n">
        <f aca="false">IFERROR(ROUND(AVERAGE('Very Large (18)'!K5:K22),1),"—")</f>
        <v>121.4</v>
      </c>
      <c r="D14" s="19" t="s">
        <v>59</v>
      </c>
      <c r="E14" s="18" t="s">
        <v>131</v>
      </c>
    </row>
    <row r="17" customFormat="false" ht="15" hidden="false" customHeight="false" outlineLevel="0" collapsed="false">
      <c r="A17" s="20" t="s">
        <v>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58"/>
    <col collapsed="false" customWidth="true" hidden="false" outlineLevel="0" max="6" min="4" style="0" width="12"/>
  </cols>
  <sheetData>
    <row r="1" customFormat="false" ht="17.35" hidden="false" customHeight="false" outlineLevel="0" collapsed="false">
      <c r="A1" s="16" t="s">
        <v>133</v>
      </c>
    </row>
    <row r="3" customFormat="false" ht="39.75" hidden="false" customHeight="true" outlineLevel="0" collapsed="false">
      <c r="A3" s="7" t="s">
        <v>134</v>
      </c>
      <c r="B3" s="7" t="s">
        <v>135</v>
      </c>
      <c r="C3" s="7" t="s">
        <v>136</v>
      </c>
      <c r="D3" s="7" t="s">
        <v>137</v>
      </c>
      <c r="E3" s="7" t="s">
        <v>138</v>
      </c>
      <c r="F3" s="7" t="s">
        <v>139</v>
      </c>
    </row>
    <row r="4" customFormat="false" ht="27.75" hidden="false" customHeight="true" outlineLevel="0" collapsed="false">
      <c r="A4" s="21" t="s">
        <v>140</v>
      </c>
      <c r="B4" s="21" t="s">
        <v>141</v>
      </c>
      <c r="C4" s="21" t="s">
        <v>142</v>
      </c>
      <c r="D4" s="22"/>
      <c r="E4" s="22"/>
      <c r="F4" s="22"/>
    </row>
    <row r="5" customFormat="false" ht="27.75" hidden="false" customHeight="true" outlineLevel="0" collapsed="false">
      <c r="A5" s="21" t="s">
        <v>143</v>
      </c>
      <c r="B5" s="21" t="s">
        <v>144</v>
      </c>
      <c r="C5" s="21" t="s">
        <v>145</v>
      </c>
      <c r="D5" s="22"/>
      <c r="E5" s="22"/>
      <c r="F5" s="22"/>
    </row>
    <row r="6" customFormat="false" ht="27.75" hidden="false" customHeight="true" outlineLevel="0" collapsed="false">
      <c r="A6" s="21" t="s">
        <v>146</v>
      </c>
      <c r="B6" s="21" t="s">
        <v>147</v>
      </c>
      <c r="C6" s="21" t="s">
        <v>148</v>
      </c>
      <c r="D6" s="22"/>
      <c r="E6" s="22"/>
      <c r="F6" s="22"/>
    </row>
    <row r="7" customFormat="false" ht="27.75" hidden="false" customHeight="true" outlineLevel="0" collapsed="false">
      <c r="A7" s="21" t="s">
        <v>149</v>
      </c>
      <c r="B7" s="21" t="s">
        <v>150</v>
      </c>
      <c r="C7" s="21" t="s">
        <v>151</v>
      </c>
      <c r="D7" s="22"/>
      <c r="E7" s="22"/>
      <c r="F7" s="22"/>
    </row>
    <row r="8" customFormat="false" ht="27.75" hidden="false" customHeight="true" outlineLevel="0" collapsed="false">
      <c r="A8" s="21" t="s">
        <v>152</v>
      </c>
      <c r="B8" s="21" t="s">
        <v>153</v>
      </c>
      <c r="C8" s="21" t="s">
        <v>154</v>
      </c>
      <c r="D8" s="22"/>
      <c r="E8" s="22"/>
      <c r="F8" s="22"/>
    </row>
    <row r="9" customFormat="false" ht="27.75" hidden="false" customHeight="true" outlineLevel="0" collapsed="false">
      <c r="A9" s="21" t="s">
        <v>155</v>
      </c>
      <c r="B9" s="21" t="s">
        <v>156</v>
      </c>
      <c r="C9" s="21" t="s">
        <v>157</v>
      </c>
      <c r="D9" s="22"/>
      <c r="E9" s="22"/>
      <c r="F9" s="22"/>
    </row>
    <row r="10" customFormat="false" ht="27.75" hidden="false" customHeight="true" outlineLevel="0" collapsed="false">
      <c r="A10" s="21" t="s">
        <v>158</v>
      </c>
      <c r="B10" s="21" t="s">
        <v>159</v>
      </c>
      <c r="C10" s="21" t="s">
        <v>160</v>
      </c>
      <c r="D10" s="22"/>
      <c r="E10" s="22"/>
      <c r="F10" s="22"/>
    </row>
    <row r="11" customFormat="false" ht="27.75" hidden="false" customHeight="true" outlineLevel="0" collapsed="false">
      <c r="A11" s="21" t="s">
        <v>161</v>
      </c>
      <c r="B11" s="21" t="s">
        <v>162</v>
      </c>
      <c r="C11" s="21" t="s">
        <v>163</v>
      </c>
      <c r="D11" s="22"/>
      <c r="E11" s="22"/>
      <c r="F11" s="2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2026-08-24T07:59:49Z</dcterms:created>
  <dc:creator>openpyxl</dc:creator>
  <dc:description/>
  <dc:language>en-US</dc:language>
  <cp:lastModifiedBy/>
  <dcterms:modified xsi:type="dcterms:W3CDTF">2026-08-24T07:59:49Z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